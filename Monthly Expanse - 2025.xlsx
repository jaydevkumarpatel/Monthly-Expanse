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2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Personal Important Documents\Money expanses\Expanse Report\2025\"/>
    </mc:Choice>
  </mc:AlternateContent>
  <xr:revisionPtr revIDLastSave="0" documentId="13_ncr:1_{848C43E1-1BBA-4DDC-8556-27E0B686836A}" xr6:coauthVersionLast="47" xr6:coauthVersionMax="47" xr10:uidLastSave="{00000000-0000-0000-0000-000000000000}"/>
  <bookViews>
    <workbookView xWindow="-120" yWindow="-120" windowWidth="29040" windowHeight="15720" tabRatio="753" activeTab="9" xr2:uid="{0D004C9E-3E93-49DE-88B8-8905290AE4AF}"/>
  </bookViews>
  <sheets>
    <sheet name="Jan" sheetId="1" r:id="rId1"/>
    <sheet name="Feb" sheetId="10" r:id="rId2"/>
    <sheet name="Mar" sheetId="21" r:id="rId3"/>
    <sheet name="Apr" sheetId="22" r:id="rId4"/>
    <sheet name="May" sheetId="23" r:id="rId5"/>
    <sheet name="Jun" sheetId="24" r:id="rId6"/>
    <sheet name="Jul" sheetId="25" r:id="rId7"/>
    <sheet name="Aug" sheetId="26" r:id="rId8"/>
    <sheet name="Sept" sheetId="27" r:id="rId9"/>
    <sheet name="Oct" sheetId="28" r:id="rId10"/>
    <sheet name="Nov" sheetId="29" r:id="rId11"/>
    <sheet name="Dec" sheetId="30" r:id="rId12"/>
    <sheet name="Lookup Tables" sheetId="9" r:id="rId13"/>
  </sheets>
  <definedNames>
    <definedName name="_xlnm._FilterDatabase" localSheetId="3" hidden="1">Apr!$A$1:$G$1</definedName>
    <definedName name="_xlnm._FilterDatabase" localSheetId="7" hidden="1">Aug!$A$1:$G$1</definedName>
    <definedName name="_xlnm._FilterDatabase" localSheetId="11" hidden="1">Dec!$A$1:$G$1</definedName>
    <definedName name="_xlnm._FilterDatabase" localSheetId="1" hidden="1">Feb!$A$1:$G$1</definedName>
    <definedName name="_xlnm._FilterDatabase" localSheetId="0" hidden="1">Jan!$A$1:$G$1</definedName>
    <definedName name="_xlnm._FilterDatabase" localSheetId="6" hidden="1">Jul!$A$1:$H$1</definedName>
    <definedName name="_xlnm._FilterDatabase" localSheetId="5" hidden="1">Jun!$A$1:$G$91</definedName>
    <definedName name="_xlnm._FilterDatabase" localSheetId="12" hidden="1">'Lookup Tables'!$E$1:$E$5</definedName>
    <definedName name="_xlnm._FilterDatabase" localSheetId="2" hidden="1">Mar!$A$1:$G$1</definedName>
    <definedName name="_xlnm._FilterDatabase" localSheetId="4" hidden="1">May!$A$1:$G$1</definedName>
    <definedName name="_xlnm._FilterDatabase" localSheetId="10" hidden="1">Nov!$A$1:$G$1</definedName>
    <definedName name="_xlnm._FilterDatabase" localSheetId="9" hidden="1">Oct!$A$1:$G$1</definedName>
    <definedName name="_xlnm._FilterDatabase" localSheetId="8" hidden="1">Sept!$A$1:$G$1</definedName>
    <definedName name="CCUsed" localSheetId="3">Table2[CC Used]</definedName>
    <definedName name="CCUsed" localSheetId="7">Table2[CC Used]</definedName>
    <definedName name="CCUsed" localSheetId="11">Table2[CC Used]</definedName>
    <definedName name="CCUsed" localSheetId="6">Table2[CC Used]</definedName>
    <definedName name="CCUsed" localSheetId="5">Table2[CC Used]</definedName>
    <definedName name="CCUsed" localSheetId="2">Table2[CC Used]</definedName>
    <definedName name="CCUsed" localSheetId="4">Table2[CC Used]</definedName>
    <definedName name="CCUsed" localSheetId="10">Table2[CC Used]</definedName>
    <definedName name="CCUsed" localSheetId="9">Table2[CC Used]</definedName>
    <definedName name="CCUsed" localSheetId="8">Table2[CC Used]</definedName>
    <definedName name="CCUsed">Table2[CC Used]</definedName>
    <definedName name="ItemsDescription" localSheetId="3">Table1[Items Description]</definedName>
    <definedName name="ItemsDescription" localSheetId="7">Table1[Items Description]</definedName>
    <definedName name="ItemsDescription" localSheetId="11">Table1[Items Description]</definedName>
    <definedName name="ItemsDescription" localSheetId="6">Table1[Items Description]</definedName>
    <definedName name="ItemsDescription" localSheetId="5">Table1[Items Description]</definedName>
    <definedName name="ItemsDescription" localSheetId="2">Table1[Items Description]</definedName>
    <definedName name="ItemsDescription" localSheetId="4">Table1[Items Description]</definedName>
    <definedName name="ItemsDescription" localSheetId="10">Table1[Items Description]</definedName>
    <definedName name="ItemsDescription" localSheetId="9">Table1[Items Description]</definedName>
    <definedName name="ItemsDescription" localSheetId="8">Table1[Items Description]</definedName>
    <definedName name="ItemsDescription">Table1[Items Description]</definedName>
    <definedName name="_xlnm.Print_Area" localSheetId="3">Apr!$A$1:$K$108</definedName>
    <definedName name="_xlnm.Print_Area" localSheetId="7">Aug!$A$1:$K$123</definedName>
    <definedName name="_xlnm.Print_Area" localSheetId="11">Dec!$A$1:$K$105</definedName>
    <definedName name="_xlnm.Print_Area" localSheetId="1">Feb!$A$1:$K$96</definedName>
    <definedName name="_xlnm.Print_Area" localSheetId="6">Jul!$A$1:$K$119</definedName>
    <definedName name="_xlnm.Print_Area" localSheetId="5">Jun!$A$1:$K$99</definedName>
    <definedName name="_xlnm.Print_Area" localSheetId="2">Mar!$A$1:$K$111</definedName>
    <definedName name="_xlnm.Print_Area" localSheetId="4">May!$A$1:$K$108</definedName>
    <definedName name="_xlnm.Print_Area" localSheetId="10">Nov!$A$1:$K$83</definedName>
    <definedName name="_xlnm.Print_Area" localSheetId="9">Oct!$A$1:$K$121</definedName>
    <definedName name="_xlnm.Print_Area" localSheetId="8">Sept!$A$1:$K$110</definedName>
    <definedName name="_xlnm.Print_Titles" localSheetId="0">Jan!$1:$1</definedName>
    <definedName name="StoresDescription" localSheetId="3">Table14[Stores Description]</definedName>
    <definedName name="StoresDescription" localSheetId="7">Table14[Stores Description]</definedName>
    <definedName name="StoresDescription" localSheetId="11">Table14[Stores Description]</definedName>
    <definedName name="StoresDescription" localSheetId="6">Table14[Stores Description]</definedName>
    <definedName name="StoresDescription" localSheetId="5">Table14[Stores Description]</definedName>
    <definedName name="StoresDescription" localSheetId="2">Table14[Stores Description]</definedName>
    <definedName name="StoresDescription" localSheetId="4">Table14[Stores Description]</definedName>
    <definedName name="StoresDescription" localSheetId="10">Table14[Stores Description]</definedName>
    <definedName name="StoresDescription" localSheetId="9">Table14[Stores Description]</definedName>
    <definedName name="StoresDescription" localSheetId="8">Table14[Stores Description]</definedName>
    <definedName name="StoresDescription">Table14[Stores Description]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9" i="27" l="1"/>
  <c r="G104" i="27"/>
  <c r="F104" i="27"/>
  <c r="C105" i="27"/>
  <c r="E15" i="27"/>
  <c r="E104" i="27" s="1"/>
  <c r="E35" i="26"/>
  <c r="F7" i="25"/>
  <c r="F8" i="22"/>
  <c r="C110" i="21"/>
  <c r="C107" i="21"/>
  <c r="C106" i="21"/>
  <c r="E105" i="21"/>
  <c r="F93" i="24"/>
  <c r="E93" i="24"/>
  <c r="J11" i="24"/>
  <c r="J10" i="24"/>
  <c r="J9" i="24"/>
  <c r="J8" i="24"/>
  <c r="J7" i="24"/>
  <c r="J6" i="24"/>
  <c r="J5" i="24"/>
  <c r="J4" i="24"/>
  <c r="C104" i="23" l="1"/>
  <c r="C108" i="23" s="1"/>
  <c r="E102" i="23" l="1"/>
  <c r="E90" i="10"/>
  <c r="J9" i="10"/>
  <c r="C102" i="30"/>
  <c r="C103" i="30" s="1"/>
  <c r="C101" i="30"/>
  <c r="C105" i="30" s="1"/>
  <c r="C100" i="30"/>
  <c r="C104" i="30" s="1"/>
  <c r="G99" i="30"/>
  <c r="F99" i="30"/>
  <c r="E99" i="30"/>
  <c r="J12" i="30"/>
  <c r="J11" i="30"/>
  <c r="J10" i="30"/>
  <c r="J9" i="30"/>
  <c r="J8" i="30"/>
  <c r="J7" i="30"/>
  <c r="J6" i="30"/>
  <c r="J5" i="30"/>
  <c r="C80" i="29"/>
  <c r="C81" i="29" s="1"/>
  <c r="C79" i="29"/>
  <c r="C83" i="29" s="1"/>
  <c r="C78" i="29"/>
  <c r="C82" i="29" s="1"/>
  <c r="G77" i="29"/>
  <c r="F77" i="29"/>
  <c r="E77" i="29"/>
  <c r="J12" i="29"/>
  <c r="J11" i="29"/>
  <c r="J10" i="29"/>
  <c r="J9" i="29"/>
  <c r="J8" i="29"/>
  <c r="J7" i="29"/>
  <c r="J6" i="29"/>
  <c r="J5" i="29"/>
  <c r="C118" i="28"/>
  <c r="C119" i="28" s="1"/>
  <c r="C117" i="28"/>
  <c r="C121" i="28" s="1"/>
  <c r="C116" i="28"/>
  <c r="C120" i="28" s="1"/>
  <c r="G115" i="28"/>
  <c r="F115" i="28"/>
  <c r="E115" i="28"/>
  <c r="J12" i="28"/>
  <c r="J11" i="28"/>
  <c r="J10" i="28"/>
  <c r="J9" i="28"/>
  <c r="J8" i="28"/>
  <c r="J7" i="28"/>
  <c r="J6" i="28"/>
  <c r="J5" i="28"/>
  <c r="C107" i="27"/>
  <c r="C108" i="27" s="1"/>
  <c r="C106" i="27"/>
  <c r="C110" i="27" s="1"/>
  <c r="J12" i="27"/>
  <c r="J11" i="27"/>
  <c r="J10" i="27"/>
  <c r="J9" i="27"/>
  <c r="J8" i="27"/>
  <c r="J7" i="27"/>
  <c r="J6" i="27"/>
  <c r="J5" i="27"/>
  <c r="C120" i="26"/>
  <c r="C121" i="26" s="1"/>
  <c r="C119" i="26"/>
  <c r="C123" i="26" s="1"/>
  <c r="C118" i="26"/>
  <c r="C122" i="26" s="1"/>
  <c r="G117" i="26"/>
  <c r="F117" i="26"/>
  <c r="E117" i="26"/>
  <c r="J12" i="26"/>
  <c r="J11" i="26"/>
  <c r="J10" i="26"/>
  <c r="J9" i="26"/>
  <c r="J8" i="26"/>
  <c r="J7" i="26"/>
  <c r="J6" i="26"/>
  <c r="J5" i="26"/>
  <c r="C116" i="25"/>
  <c r="C117" i="25" s="1"/>
  <c r="C115" i="25"/>
  <c r="C119" i="25" s="1"/>
  <c r="C114" i="25"/>
  <c r="C118" i="25" s="1"/>
  <c r="G113" i="25"/>
  <c r="F113" i="25"/>
  <c r="E113" i="25"/>
  <c r="J12" i="25"/>
  <c r="J11" i="25"/>
  <c r="J10" i="25"/>
  <c r="J9" i="25"/>
  <c r="J8" i="25"/>
  <c r="J7" i="25"/>
  <c r="J6" i="25"/>
  <c r="J5" i="25"/>
  <c r="C96" i="24"/>
  <c r="C97" i="24" s="1"/>
  <c r="C95" i="24"/>
  <c r="C99" i="24" s="1"/>
  <c r="C94" i="24"/>
  <c r="C98" i="24" s="1"/>
  <c r="G93" i="24"/>
  <c r="C105" i="23"/>
  <c r="C106" i="23" s="1"/>
  <c r="C103" i="23"/>
  <c r="C107" i="23" s="1"/>
  <c r="G102" i="23"/>
  <c r="F102" i="23"/>
  <c r="J12" i="23"/>
  <c r="J11" i="23"/>
  <c r="J10" i="23"/>
  <c r="J9" i="23"/>
  <c r="J8" i="23"/>
  <c r="J7" i="23"/>
  <c r="J6" i="23"/>
  <c r="J5" i="23"/>
  <c r="C105" i="22"/>
  <c r="C106" i="22" s="1"/>
  <c r="C104" i="22"/>
  <c r="C108" i="22" s="1"/>
  <c r="C103" i="22"/>
  <c r="C107" i="22" s="1"/>
  <c r="G102" i="22"/>
  <c r="F102" i="22"/>
  <c r="E102" i="22"/>
  <c r="J12" i="22"/>
  <c r="J11" i="22"/>
  <c r="J10" i="22"/>
  <c r="J9" i="22"/>
  <c r="J8" i="22"/>
  <c r="J7" i="22"/>
  <c r="J6" i="22"/>
  <c r="J5" i="22"/>
  <c r="C108" i="21"/>
  <c r="C109" i="21" s="1"/>
  <c r="C111" i="21"/>
  <c r="G105" i="21"/>
  <c r="F105" i="21"/>
  <c r="J12" i="21"/>
  <c r="J11" i="21"/>
  <c r="J10" i="21"/>
  <c r="J9" i="21"/>
  <c r="J8" i="21"/>
  <c r="J7" i="21"/>
  <c r="J6" i="21"/>
  <c r="J5" i="21"/>
  <c r="C93" i="10"/>
  <c r="C94" i="10" s="1"/>
  <c r="C91" i="10"/>
  <c r="C95" i="10" s="1"/>
  <c r="C92" i="10"/>
  <c r="C96" i="10" s="1"/>
  <c r="J5" i="1"/>
  <c r="E89" i="1"/>
  <c r="J12" i="10"/>
  <c r="J11" i="10"/>
  <c r="J10" i="10"/>
  <c r="J8" i="10"/>
  <c r="J7" i="10"/>
  <c r="J6" i="10"/>
  <c r="J5" i="10"/>
  <c r="J11" i="1"/>
  <c r="G90" i="10"/>
  <c r="F90" i="10"/>
  <c r="J9" i="1"/>
  <c r="C91" i="1"/>
  <c r="J12" i="1"/>
  <c r="G89" i="1"/>
  <c r="J8" i="1"/>
  <c r="J10" i="1"/>
  <c r="J6" i="1"/>
  <c r="C93" i="1" l="1"/>
  <c r="F89" i="1"/>
  <c r="C90" i="1"/>
  <c r="C92" i="1" s="1"/>
  <c r="J7" i="1"/>
</calcChain>
</file>

<file path=xl/sharedStrings.xml><?xml version="1.0" encoding="utf-8"?>
<sst xmlns="http://schemas.openxmlformats.org/spreadsheetml/2006/main" count="2458" uniqueCount="109">
  <si>
    <t>Date</t>
  </si>
  <si>
    <t>Stores</t>
  </si>
  <si>
    <t>Items</t>
  </si>
  <si>
    <t>Grocery</t>
  </si>
  <si>
    <t>Medical</t>
  </si>
  <si>
    <t>Car Maintenance</t>
  </si>
  <si>
    <t>Food</t>
  </si>
  <si>
    <t>Amazon</t>
  </si>
  <si>
    <t>Items Description</t>
  </si>
  <si>
    <t>Stores Description</t>
  </si>
  <si>
    <t>Bed Bath and Beyond</t>
  </si>
  <si>
    <t>Bath and Body Works</t>
  </si>
  <si>
    <t>Walmart</t>
  </si>
  <si>
    <t>Home Depot</t>
  </si>
  <si>
    <t>Toyota</t>
  </si>
  <si>
    <t>Fuel</t>
  </si>
  <si>
    <t>Sam's Club</t>
  </si>
  <si>
    <t>Total Capitol One CC Return</t>
  </si>
  <si>
    <t>Total Sams CC Return</t>
  </si>
  <si>
    <t xml:space="preserve">Total Capitol One CC </t>
  </si>
  <si>
    <t xml:space="preserve">Total Sams CC </t>
  </si>
  <si>
    <t>Total</t>
  </si>
  <si>
    <t>CC Used</t>
  </si>
  <si>
    <t>Capitol One</t>
  </si>
  <si>
    <t xml:space="preserve">Credit Card </t>
  </si>
  <si>
    <t>Debit</t>
  </si>
  <si>
    <t>Credit</t>
  </si>
  <si>
    <t>Macys</t>
  </si>
  <si>
    <t>JC Penny</t>
  </si>
  <si>
    <t>Columbia</t>
  </si>
  <si>
    <t>Foi</t>
  </si>
  <si>
    <t>Restaurant Depot</t>
  </si>
  <si>
    <t>H&amp;M</t>
  </si>
  <si>
    <t>Express</t>
  </si>
  <si>
    <t>Hair Cut</t>
  </si>
  <si>
    <t>USPS</t>
  </si>
  <si>
    <t>UPS</t>
  </si>
  <si>
    <t>FedEx</t>
  </si>
  <si>
    <t>Indian Grocery</t>
  </si>
  <si>
    <t>New Balance</t>
  </si>
  <si>
    <t>CVS</t>
  </si>
  <si>
    <t>Manscaped</t>
  </si>
  <si>
    <t>Bucees</t>
  </si>
  <si>
    <t>Rouses</t>
  </si>
  <si>
    <t>Walgreens</t>
  </si>
  <si>
    <t>Tax Return</t>
  </si>
  <si>
    <t>HEB</t>
  </si>
  <si>
    <t>Hospital</t>
  </si>
  <si>
    <t>Costco</t>
  </si>
  <si>
    <t>Loves</t>
  </si>
  <si>
    <t>Laxmi Farsan</t>
  </si>
  <si>
    <t>Patel Brothers</t>
  </si>
  <si>
    <t>Academy</t>
  </si>
  <si>
    <t>Zappos</t>
  </si>
  <si>
    <t>Under Armor</t>
  </si>
  <si>
    <t>Wholes Food</t>
  </si>
  <si>
    <t>TWIC Card</t>
  </si>
  <si>
    <t xml:space="preserve">TV </t>
  </si>
  <si>
    <t>Brake Performance</t>
  </si>
  <si>
    <t>Target</t>
  </si>
  <si>
    <t>Best Buy</t>
  </si>
  <si>
    <t>Lowes</t>
  </si>
  <si>
    <t>Gym</t>
  </si>
  <si>
    <t>Nike</t>
  </si>
  <si>
    <t>MCDonald</t>
  </si>
  <si>
    <t>Freeze Filter</t>
  </si>
  <si>
    <t>Restaurant</t>
  </si>
  <si>
    <t>Kroger</t>
  </si>
  <si>
    <t>Groupon</t>
  </si>
  <si>
    <t>Samsung</t>
  </si>
  <si>
    <t>Harbor Freight</t>
  </si>
  <si>
    <t>USCIS</t>
  </si>
  <si>
    <t>Hotel</t>
  </si>
  <si>
    <t>Big Lots</t>
  </si>
  <si>
    <t>Party City</t>
  </si>
  <si>
    <t>Dollar Tree</t>
  </si>
  <si>
    <t>Kohls</t>
  </si>
  <si>
    <t>U-Haul</t>
  </si>
  <si>
    <t>Old Navy</t>
  </si>
  <si>
    <t>European Wax</t>
  </si>
  <si>
    <t xml:space="preserve">Dental </t>
  </si>
  <si>
    <t>Shopping</t>
  </si>
  <si>
    <t>Ticket</t>
  </si>
  <si>
    <t>Vision</t>
  </si>
  <si>
    <t>Health &amp; Fitness</t>
  </si>
  <si>
    <t>Education</t>
  </si>
  <si>
    <t>Photo</t>
  </si>
  <si>
    <t>College</t>
  </si>
  <si>
    <t>Winn Dixie</t>
  </si>
  <si>
    <t>Tractor Supply</t>
  </si>
  <si>
    <t>Total Discover CC Return</t>
  </si>
  <si>
    <t xml:space="preserve">Total Discover CC </t>
  </si>
  <si>
    <t xml:space="preserve">Home </t>
  </si>
  <si>
    <t>Tjmaxx</t>
  </si>
  <si>
    <t>Hilton</t>
  </si>
  <si>
    <t>Expedia</t>
  </si>
  <si>
    <t>Movie</t>
  </si>
  <si>
    <t>DSW</t>
  </si>
  <si>
    <t>Nails</t>
  </si>
  <si>
    <t>Passport</t>
  </si>
  <si>
    <t xml:space="preserve">Ulta Beauty </t>
  </si>
  <si>
    <t>Ideal Market</t>
  </si>
  <si>
    <t>Imigration</t>
  </si>
  <si>
    <t>Airport</t>
  </si>
  <si>
    <t>Apple</t>
  </si>
  <si>
    <t>Shark</t>
  </si>
  <si>
    <t>Shein</t>
  </si>
  <si>
    <t>Hair cut</t>
  </si>
  <si>
    <t>Dry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</si>
</sst>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44" fontId="0" fillId="0" borderId="1" xfId="1" applyFont="1" applyBorder="1"/>
    <xf numFmtId="49" fontId="0" fillId="0" borderId="2" xfId="0" applyNumberFormat="1" applyBorder="1"/>
    <xf numFmtId="49" fontId="0" fillId="0" borderId="1" xfId="0" applyNumberFormat="1" applyBorder="1"/>
    <xf numFmtId="44" fontId="0" fillId="0" borderId="7" xfId="1" applyFont="1" applyBorder="1"/>
    <xf numFmtId="49" fontId="0" fillId="0" borderId="3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13" xfId="0" applyBorder="1"/>
    <xf numFmtId="0" fontId="0" fillId="0" borderId="8" xfId="0" applyBorder="1"/>
    <xf numFmtId="0" fontId="0" fillId="0" borderId="0" xfId="0" applyAlignment="1">
      <alignment horizontal="left"/>
    </xf>
    <xf numFmtId="0" fontId="0" fillId="0" borderId="11" xfId="0" applyBorder="1"/>
    <xf numFmtId="44" fontId="0" fillId="0" borderId="11" xfId="1" applyFont="1" applyBorder="1"/>
    <xf numFmtId="0" fontId="1" fillId="0" borderId="0" xfId="0" applyFont="1"/>
    <xf numFmtId="44" fontId="0" fillId="0" borderId="0" xfId="1" applyFont="1" applyBorder="1"/>
    <xf numFmtId="0" fontId="0" fillId="0" borderId="17" xfId="0" applyBorder="1"/>
    <xf numFmtId="44" fontId="0" fillId="0" borderId="1" xfId="1" applyFont="1" applyFill="1" applyBorder="1"/>
    <xf numFmtId="44" fontId="0" fillId="0" borderId="7" xfId="1" applyFont="1" applyFill="1" applyBorder="1"/>
    <xf numFmtId="14" fontId="0" fillId="0" borderId="14" xfId="0" applyNumberFormat="1" applyBorder="1"/>
    <xf numFmtId="14" fontId="0" fillId="0" borderId="6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3" xfId="0" applyBorder="1" applyAlignment="1">
      <alignment horizontal="left"/>
    </xf>
    <xf numFmtId="44" fontId="0" fillId="0" borderId="0" xfId="0" applyNumberFormat="1"/>
    <xf numFmtId="44" fontId="0" fillId="0" borderId="11" xfId="1" applyFont="1" applyFill="1" applyBorder="1"/>
    <xf numFmtId="0" fontId="1" fillId="0" borderId="4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5" xfId="0" applyFont="1" applyBorder="1" applyAlignment="1">
      <alignment wrapText="1"/>
    </xf>
    <xf numFmtId="14" fontId="0" fillId="0" borderId="6" xfId="0" applyNumberForma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1" xfId="0" applyNumberFormat="1" applyBorder="1" applyAlignment="1">
      <alignment wrapText="1"/>
    </xf>
    <xf numFmtId="44" fontId="0" fillId="0" borderId="1" xfId="1" applyFont="1" applyBorder="1" applyAlignment="1">
      <alignment wrapText="1"/>
    </xf>
    <xf numFmtId="0" fontId="1" fillId="0" borderId="1" xfId="0" applyFont="1" applyBorder="1" applyAlignment="1">
      <alignment wrapText="1"/>
    </xf>
    <xf numFmtId="44" fontId="0" fillId="2" borderId="1" xfId="1" applyFont="1" applyFill="1" applyBorder="1" applyAlignment="1">
      <alignment wrapText="1"/>
    </xf>
    <xf numFmtId="49" fontId="0" fillId="0" borderId="3" xfId="0" applyNumberFormat="1" applyBorder="1" applyAlignment="1">
      <alignment wrapText="1"/>
    </xf>
    <xf numFmtId="0" fontId="1" fillId="0" borderId="14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44" fontId="0" fillId="0" borderId="7" xfId="1" applyFont="1" applyBorder="1" applyAlignment="1">
      <alignment wrapText="1"/>
    </xf>
    <xf numFmtId="0" fontId="3" fillId="0" borderId="14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44" fontId="0" fillId="0" borderId="13" xfId="1" applyFont="1" applyBorder="1" applyAlignment="1">
      <alignment wrapText="1"/>
    </xf>
    <xf numFmtId="44" fontId="0" fillId="0" borderId="1" xfId="1" applyFont="1" applyFill="1" applyBorder="1" applyAlignment="1">
      <alignment wrapText="1"/>
    </xf>
    <xf numFmtId="44" fontId="0" fillId="0" borderId="17" xfId="1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left" wrapText="1"/>
    </xf>
    <xf numFmtId="14" fontId="0" fillId="0" borderId="6" xfId="0" applyNumberFormat="1" applyBorder="1" applyAlignment="1">
      <alignment horizontal="center" wrapText="1"/>
    </xf>
    <xf numFmtId="49" fontId="0" fillId="0" borderId="2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center" wrapText="1"/>
    </xf>
    <xf numFmtId="44" fontId="0" fillId="0" borderId="17" xfId="1" applyFont="1" applyBorder="1" applyAlignment="1">
      <alignment horizontal="center" wrapText="1"/>
    </xf>
    <xf numFmtId="44" fontId="0" fillId="0" borderId="1" xfId="1" applyFont="1" applyBorder="1" applyAlignment="1">
      <alignment horizontal="center" wrapText="1"/>
    </xf>
    <xf numFmtId="44" fontId="0" fillId="0" borderId="13" xfId="1" applyFont="1" applyBorder="1" applyAlignment="1">
      <alignment horizontal="center" wrapText="1"/>
    </xf>
    <xf numFmtId="44" fontId="0" fillId="0" borderId="7" xfId="1" applyFont="1" applyFill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microsoft.com/office/2017/10/relationships/person" Target="persons/pers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B0400-71CA-4067-9E50-F5503503FB83}" name="Table1" displayName="Table1" ref="A1:A10" totalsRowShown="0" headerRowDxfId="2">
  <autoFilter ref="A1:A10" xr:uid="{FBCF83FA-9117-4DE4-B77C-0318FDEC88F8}"/>
  <sortState xmlns:xlrd2="http://schemas.microsoft.com/office/spreadsheetml/2017/richdata2" ref="A2:A10">
    <sortCondition ref="A1:A10"/>
  </sortState>
  <tableColumns count="1">
    <tableColumn id="2" xr3:uid="{580A2DEC-C430-464F-B389-F5359E7858C9}" name="Items Description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84B039-AEC5-4592-B232-BF3FBA19F9C8}" name="Table14" displayName="Table14" ref="C1:C85" totalsRowShown="0" headerRowDxfId="1">
  <autoFilter ref="C1:C85" xr:uid="{36D66FB3-19BA-42F2-92D5-00EEC8F5E8E4}"/>
  <sortState xmlns:xlrd2="http://schemas.microsoft.com/office/spreadsheetml/2017/richdata2" ref="C2:C85">
    <sortCondition ref="C1:C85"/>
  </sortState>
  <tableColumns count="1">
    <tableColumn id="2" xr3:uid="{8C035555-01FD-487F-8505-A83E13D5E15A}" name="Stores Description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9F2DFC-D2EE-49B3-94D1-6BF86AC9CAF6}" name="Table2" displayName="Table2" ref="E1:E3" totalsRowShown="0" headerRowDxfId="0" headerRowBorderDxfId="4" tableBorderDxfId="3">
  <autoFilter ref="E1:E3" xr:uid="{EC9F2DFC-D2EE-49B3-94D1-6BF86AC9CAF6}"/>
  <sortState xmlns:xlrd2="http://schemas.microsoft.com/office/spreadsheetml/2017/richdata2" ref="E2:E3">
    <sortCondition ref="E1:E3"/>
  </sortState>
  <tableColumns count="1">
    <tableColumn id="1" xr3:uid="{970FBF2E-5245-4F4F-B83D-40B80CD802AA}" name="CC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C653B9-9FC8-4179-AA96-2568ACAD5F08}">
  <we:reference id="wa104379220" version="8.0.0.0" store="en-US" storeType="OMEX"/>
  <we:alternateReferences>
    <we:reference id="wa104379220" version="8.0.0.0" store="wa104379220" storeType="OMEX"/>
  </we:alternateReferences>
  <we:properties>
    <we:property name="Office.AutoShowTaskpaneWithDocument" value="true"/>
    <we:property name="lastCryptoCompare" value="0"/>
    <we:property name="lastIexCall" value="0"/>
    <we:property name="stocks" value="{}"/>
    <we:property name="stocksChange" value="{}"/>
    <we:property name="stocksOrder" value="[]"/>
    <we:property name="stocksSources" value="{}"/>
    <we:property name="updateIntervalIndex" value="2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C991-3FFE-4866-967D-4139DF94C020}">
  <sheetPr codeName="Sheet1">
    <pageSetUpPr fitToPage="1"/>
  </sheetPr>
  <dimension ref="A1:J93"/>
  <sheetViews>
    <sheetView zoomScaleNormal="100" zoomScaleSheetLayoutView="62" workbookViewId="0">
      <pane ySplit="1" topLeftCell="A2" activePane="bottomLeft" state="frozen"/>
      <selection pane="bottomLeft" activeCell="I101" sqref="I101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3" width="19.85546875" bestFit="1" customWidth="1"/>
    <col min="4" max="4" width="20.140625" bestFit="1" customWidth="1"/>
    <col min="5" max="5" width="10.5703125" bestFit="1" customWidth="1"/>
    <col min="6" max="6" width="9.85546875" bestFit="1" customWidth="1"/>
    <col min="7" max="7" width="8.7109375" bestFit="1" customWidth="1"/>
    <col min="8" max="8" width="8.5703125" customWidth="1"/>
    <col min="9" max="9" width="20.28515625" bestFit="1" customWidth="1"/>
    <col min="10" max="10" width="10.5703125" bestFit="1" customWidth="1"/>
  </cols>
  <sheetData>
    <row r="1" spans="1:10" x14ac:dyDescent="0.25">
      <c r="A1" s="31" t="s">
        <v>0</v>
      </c>
      <c r="B1" s="32" t="s">
        <v>24</v>
      </c>
      <c r="C1" s="33" t="s">
        <v>1</v>
      </c>
      <c r="D1" s="33" t="s">
        <v>2</v>
      </c>
      <c r="E1" s="33" t="s">
        <v>25</v>
      </c>
      <c r="F1" s="33" t="s">
        <v>26</v>
      </c>
      <c r="G1" s="34" t="s">
        <v>30</v>
      </c>
    </row>
    <row r="2" spans="1:10" x14ac:dyDescent="0.25">
      <c r="A2" s="35">
        <v>45642</v>
      </c>
      <c r="B2" s="36" t="s">
        <v>23</v>
      </c>
      <c r="C2" s="37" t="s">
        <v>12</v>
      </c>
      <c r="D2" s="37" t="s">
        <v>3</v>
      </c>
      <c r="E2" s="38">
        <v>11.51</v>
      </c>
      <c r="F2" s="38">
        <v>11.51</v>
      </c>
      <c r="G2" s="13"/>
    </row>
    <row r="3" spans="1:10" x14ac:dyDescent="0.25">
      <c r="A3" s="35">
        <v>45642</v>
      </c>
      <c r="B3" s="36" t="s">
        <v>23</v>
      </c>
      <c r="C3" s="37" t="s">
        <v>12</v>
      </c>
      <c r="D3" s="37" t="s">
        <v>3</v>
      </c>
      <c r="E3" s="38">
        <v>7.63</v>
      </c>
      <c r="F3" s="3"/>
      <c r="G3" s="6"/>
    </row>
    <row r="4" spans="1:10" x14ac:dyDescent="0.25">
      <c r="A4" s="35">
        <v>45642</v>
      </c>
      <c r="B4" s="36" t="s">
        <v>23</v>
      </c>
      <c r="C4" s="37" t="s">
        <v>11</v>
      </c>
      <c r="D4" s="37" t="s">
        <v>81</v>
      </c>
      <c r="E4" s="38">
        <v>43.54</v>
      </c>
      <c r="F4" s="3"/>
      <c r="G4" s="6"/>
    </row>
    <row r="5" spans="1:10" x14ac:dyDescent="0.25">
      <c r="A5" s="35">
        <v>45642</v>
      </c>
      <c r="B5" s="36" t="s">
        <v>23</v>
      </c>
      <c r="C5" s="37" t="s">
        <v>27</v>
      </c>
      <c r="D5" s="37" t="s">
        <v>81</v>
      </c>
      <c r="E5" s="38">
        <v>82.99</v>
      </c>
      <c r="F5" s="38">
        <v>42.33</v>
      </c>
      <c r="G5" s="6"/>
      <c r="I5" s="39" t="s">
        <v>81</v>
      </c>
      <c r="J5" s="38">
        <f t="shared" ref="J5:J11" si="0">SUMIF($D$2:$D$87,I5,$E$2:$E$87)-SUMIF($D$2:$D$87,I5,$F$2:$F$87)</f>
        <v>739.05999999999983</v>
      </c>
    </row>
    <row r="6" spans="1:10" x14ac:dyDescent="0.25">
      <c r="A6" s="35">
        <v>45642</v>
      </c>
      <c r="B6" s="36" t="s">
        <v>23</v>
      </c>
      <c r="C6" s="37" t="s">
        <v>33</v>
      </c>
      <c r="D6" s="37" t="s">
        <v>81</v>
      </c>
      <c r="E6" s="38">
        <v>71.489999999999995</v>
      </c>
      <c r="F6" s="3"/>
      <c r="G6" s="6"/>
      <c r="I6" s="39" t="s">
        <v>5</v>
      </c>
      <c r="J6" s="38">
        <f t="shared" si="0"/>
        <v>175.75</v>
      </c>
    </row>
    <row r="7" spans="1:10" x14ac:dyDescent="0.25">
      <c r="A7" s="35">
        <v>45642</v>
      </c>
      <c r="B7" s="36" t="s">
        <v>23</v>
      </c>
      <c r="C7" s="37" t="s">
        <v>96</v>
      </c>
      <c r="D7" s="37" t="s">
        <v>81</v>
      </c>
      <c r="E7" s="38">
        <v>22</v>
      </c>
      <c r="F7" s="3"/>
      <c r="G7" s="6"/>
      <c r="I7" s="39" t="s">
        <v>6</v>
      </c>
      <c r="J7" s="38">
        <f t="shared" si="0"/>
        <v>141.74</v>
      </c>
    </row>
    <row r="8" spans="1:10" x14ac:dyDescent="0.25">
      <c r="A8" s="35">
        <v>45642</v>
      </c>
      <c r="B8" s="36" t="s">
        <v>23</v>
      </c>
      <c r="C8" s="37" t="s">
        <v>12</v>
      </c>
      <c r="D8" s="37" t="s">
        <v>3</v>
      </c>
      <c r="E8" s="38">
        <v>8.52</v>
      </c>
      <c r="F8" s="3"/>
      <c r="G8" s="6"/>
      <c r="I8" s="39" t="s">
        <v>15</v>
      </c>
      <c r="J8" s="38">
        <f t="shared" si="0"/>
        <v>152.98000000000002</v>
      </c>
    </row>
    <row r="9" spans="1:10" x14ac:dyDescent="0.25">
      <c r="A9" s="35">
        <v>45642</v>
      </c>
      <c r="B9" s="36" t="s">
        <v>23</v>
      </c>
      <c r="C9" s="37" t="s">
        <v>34</v>
      </c>
      <c r="D9" s="37" t="s">
        <v>81</v>
      </c>
      <c r="E9" s="38">
        <v>32</v>
      </c>
      <c r="F9" s="3"/>
      <c r="G9" s="6"/>
      <c r="I9" s="39" t="s">
        <v>3</v>
      </c>
      <c r="J9" s="38">
        <f t="shared" si="0"/>
        <v>1485.15</v>
      </c>
    </row>
    <row r="10" spans="1:10" x14ac:dyDescent="0.25">
      <c r="A10" s="35">
        <v>45642</v>
      </c>
      <c r="B10" s="36" t="s">
        <v>23</v>
      </c>
      <c r="C10" s="37" t="s">
        <v>7</v>
      </c>
      <c r="D10" s="37" t="s">
        <v>81</v>
      </c>
      <c r="E10" s="38">
        <v>12.85</v>
      </c>
      <c r="F10" s="3"/>
      <c r="G10" s="6"/>
      <c r="I10" s="39" t="s">
        <v>4</v>
      </c>
      <c r="J10" s="38">
        <f t="shared" si="0"/>
        <v>790.37</v>
      </c>
    </row>
    <row r="11" spans="1:10" x14ac:dyDescent="0.25">
      <c r="A11" s="35">
        <v>45642</v>
      </c>
      <c r="B11" s="36" t="s">
        <v>23</v>
      </c>
      <c r="C11" s="37" t="s">
        <v>7</v>
      </c>
      <c r="D11" s="37" t="s">
        <v>81</v>
      </c>
      <c r="E11" s="38">
        <v>35.159999999999997</v>
      </c>
      <c r="F11" s="38">
        <v>24.8</v>
      </c>
      <c r="G11" s="6"/>
      <c r="I11" s="39" t="s">
        <v>84</v>
      </c>
      <c r="J11" s="38">
        <f t="shared" si="0"/>
        <v>30.79</v>
      </c>
    </row>
    <row r="12" spans="1:10" x14ac:dyDescent="0.25">
      <c r="A12" s="35">
        <v>45642</v>
      </c>
      <c r="B12" s="36" t="s">
        <v>23</v>
      </c>
      <c r="C12" s="37" t="s">
        <v>27</v>
      </c>
      <c r="D12" s="37" t="s">
        <v>81</v>
      </c>
      <c r="E12" s="38">
        <v>54.43</v>
      </c>
      <c r="F12" s="3"/>
      <c r="G12" s="6"/>
      <c r="I12" s="39" t="s">
        <v>30</v>
      </c>
      <c r="J12" s="38">
        <f>SUMIF($D$2:$D$87,I12,$G$2:$G$87)-SUMIF($D$2:$D$87,I12,$F$2:$F$87)</f>
        <v>0</v>
      </c>
    </row>
    <row r="13" spans="1:10" x14ac:dyDescent="0.25">
      <c r="A13" s="35">
        <v>45643</v>
      </c>
      <c r="B13" s="36" t="s">
        <v>23</v>
      </c>
      <c r="C13" s="37" t="s">
        <v>4</v>
      </c>
      <c r="D13" s="37" t="s">
        <v>4</v>
      </c>
      <c r="E13" s="40">
        <v>52.5</v>
      </c>
      <c r="F13" s="3"/>
      <c r="G13" s="6"/>
      <c r="I13" s="15"/>
      <c r="J13" s="16"/>
    </row>
    <row r="14" spans="1:10" x14ac:dyDescent="0.25">
      <c r="A14" s="35">
        <v>45643</v>
      </c>
      <c r="B14" s="36" t="s">
        <v>23</v>
      </c>
      <c r="C14" s="37" t="s">
        <v>96</v>
      </c>
      <c r="D14" s="37" t="s">
        <v>81</v>
      </c>
      <c r="E14" s="38">
        <v>46.14</v>
      </c>
      <c r="F14" s="3"/>
      <c r="G14" s="6"/>
    </row>
    <row r="15" spans="1:10" x14ac:dyDescent="0.25">
      <c r="A15" s="35">
        <v>45643</v>
      </c>
      <c r="B15" s="36" t="s">
        <v>23</v>
      </c>
      <c r="C15" s="37" t="s">
        <v>27</v>
      </c>
      <c r="D15" s="37" t="s">
        <v>81</v>
      </c>
      <c r="E15" s="38">
        <v>42.33</v>
      </c>
      <c r="F15" s="3"/>
      <c r="G15" s="6"/>
    </row>
    <row r="16" spans="1:10" x14ac:dyDescent="0.25">
      <c r="A16" s="35">
        <v>45644</v>
      </c>
      <c r="B16" s="36" t="s">
        <v>23</v>
      </c>
      <c r="C16" s="37" t="s">
        <v>4</v>
      </c>
      <c r="D16" s="37" t="s">
        <v>4</v>
      </c>
      <c r="E16" s="40">
        <v>354.82</v>
      </c>
      <c r="F16" s="3"/>
      <c r="G16" s="6"/>
    </row>
    <row r="17" spans="1:7" x14ac:dyDescent="0.25">
      <c r="A17" s="35">
        <v>45644</v>
      </c>
      <c r="B17" s="36" t="s">
        <v>23</v>
      </c>
      <c r="C17" s="37" t="s">
        <v>12</v>
      </c>
      <c r="D17" s="37" t="s">
        <v>3</v>
      </c>
      <c r="E17" s="38">
        <v>38.68</v>
      </c>
      <c r="F17" s="3"/>
      <c r="G17" s="6"/>
    </row>
    <row r="18" spans="1:7" x14ac:dyDescent="0.25">
      <c r="A18" s="35">
        <v>45645</v>
      </c>
      <c r="B18" s="36" t="s">
        <v>23</v>
      </c>
      <c r="C18" s="37" t="s">
        <v>12</v>
      </c>
      <c r="D18" s="37" t="s">
        <v>3</v>
      </c>
      <c r="E18" s="38">
        <v>33.46</v>
      </c>
      <c r="F18" s="3"/>
      <c r="G18" s="6"/>
    </row>
    <row r="19" spans="1:7" x14ac:dyDescent="0.25">
      <c r="A19" s="35">
        <v>45645</v>
      </c>
      <c r="B19" s="36" t="s">
        <v>23</v>
      </c>
      <c r="C19" s="37" t="s">
        <v>62</v>
      </c>
      <c r="D19" s="37" t="s">
        <v>84</v>
      </c>
      <c r="E19" s="38">
        <v>30.79</v>
      </c>
      <c r="F19" s="3"/>
      <c r="G19" s="6"/>
    </row>
    <row r="20" spans="1:7" x14ac:dyDescent="0.25">
      <c r="A20" s="35">
        <v>45645</v>
      </c>
      <c r="B20" s="36" t="s">
        <v>23</v>
      </c>
      <c r="C20" s="37" t="s">
        <v>14</v>
      </c>
      <c r="D20" s="37" t="s">
        <v>5</v>
      </c>
      <c r="E20" s="40">
        <v>168.75</v>
      </c>
      <c r="F20" s="3"/>
      <c r="G20" s="6"/>
    </row>
    <row r="21" spans="1:7" x14ac:dyDescent="0.25">
      <c r="A21" s="35">
        <v>45646</v>
      </c>
      <c r="B21" s="36" t="s">
        <v>23</v>
      </c>
      <c r="C21" s="37" t="s">
        <v>12</v>
      </c>
      <c r="D21" s="37" t="s">
        <v>3</v>
      </c>
      <c r="E21" s="38">
        <v>10.85</v>
      </c>
      <c r="F21" s="3"/>
      <c r="G21" s="6"/>
    </row>
    <row r="22" spans="1:7" x14ac:dyDescent="0.25">
      <c r="A22" s="35">
        <v>45646</v>
      </c>
      <c r="B22" s="36" t="s">
        <v>23</v>
      </c>
      <c r="C22" s="37" t="s">
        <v>12</v>
      </c>
      <c r="D22" s="37" t="s">
        <v>3</v>
      </c>
      <c r="E22" s="38">
        <v>8.7100000000000009</v>
      </c>
      <c r="F22" s="3"/>
      <c r="G22" s="6"/>
    </row>
    <row r="23" spans="1:7" x14ac:dyDescent="0.25">
      <c r="A23" s="35">
        <v>45646</v>
      </c>
      <c r="B23" s="36" t="s">
        <v>23</v>
      </c>
      <c r="C23" s="37" t="s">
        <v>7</v>
      </c>
      <c r="D23" s="37" t="s">
        <v>81</v>
      </c>
      <c r="E23" s="38">
        <v>24.41</v>
      </c>
      <c r="F23" s="38">
        <v>6.59</v>
      </c>
      <c r="G23" s="6"/>
    </row>
    <row r="24" spans="1:7" x14ac:dyDescent="0.25">
      <c r="A24" s="35">
        <v>45646</v>
      </c>
      <c r="B24" s="36" t="s">
        <v>23</v>
      </c>
      <c r="C24" s="37" t="s">
        <v>7</v>
      </c>
      <c r="D24" s="37" t="s">
        <v>81</v>
      </c>
      <c r="E24" s="38">
        <v>24.74</v>
      </c>
      <c r="F24" s="38">
        <v>24.74</v>
      </c>
      <c r="G24" s="6"/>
    </row>
    <row r="25" spans="1:7" x14ac:dyDescent="0.25">
      <c r="A25" s="35">
        <v>45646</v>
      </c>
      <c r="B25" s="36" t="s">
        <v>23</v>
      </c>
      <c r="C25" s="37" t="s">
        <v>12</v>
      </c>
      <c r="D25" s="37" t="s">
        <v>3</v>
      </c>
      <c r="E25" s="38">
        <v>4.38</v>
      </c>
      <c r="F25" s="3"/>
      <c r="G25" s="6"/>
    </row>
    <row r="26" spans="1:7" x14ac:dyDescent="0.25">
      <c r="A26" s="35">
        <v>45647</v>
      </c>
      <c r="B26" s="36" t="s">
        <v>23</v>
      </c>
      <c r="C26" s="37" t="s">
        <v>12</v>
      </c>
      <c r="D26" s="37" t="s">
        <v>3</v>
      </c>
      <c r="E26" s="38">
        <v>30.48</v>
      </c>
      <c r="F26" s="3"/>
      <c r="G26" s="6"/>
    </row>
    <row r="27" spans="1:7" x14ac:dyDescent="0.25">
      <c r="A27" s="35">
        <v>45647</v>
      </c>
      <c r="B27" s="41" t="s">
        <v>23</v>
      </c>
      <c r="C27" s="37" t="s">
        <v>12</v>
      </c>
      <c r="D27" s="37" t="s">
        <v>3</v>
      </c>
      <c r="E27" s="38">
        <v>17.78</v>
      </c>
      <c r="F27" s="38">
        <v>17.78</v>
      </c>
      <c r="G27" s="6"/>
    </row>
    <row r="28" spans="1:7" x14ac:dyDescent="0.25">
      <c r="A28" s="35">
        <v>45649</v>
      </c>
      <c r="B28" s="36" t="s">
        <v>23</v>
      </c>
      <c r="C28" s="37" t="s">
        <v>12</v>
      </c>
      <c r="D28" s="37" t="s">
        <v>81</v>
      </c>
      <c r="E28" s="38">
        <v>45.48</v>
      </c>
      <c r="F28" s="3"/>
      <c r="G28" s="6"/>
    </row>
    <row r="29" spans="1:7" x14ac:dyDescent="0.25">
      <c r="A29" s="35">
        <v>45649</v>
      </c>
      <c r="B29" s="41" t="s">
        <v>23</v>
      </c>
      <c r="C29" s="37" t="s">
        <v>13</v>
      </c>
      <c r="D29" s="37" t="s">
        <v>81</v>
      </c>
      <c r="E29" s="38">
        <v>10.96</v>
      </c>
      <c r="F29" s="3"/>
      <c r="G29" s="6"/>
    </row>
    <row r="30" spans="1:7" x14ac:dyDescent="0.25">
      <c r="A30" s="35">
        <v>45649</v>
      </c>
      <c r="B30" s="36" t="s">
        <v>23</v>
      </c>
      <c r="C30" s="37" t="s">
        <v>7</v>
      </c>
      <c r="D30" s="37" t="s">
        <v>81</v>
      </c>
      <c r="E30" s="38">
        <v>41.02</v>
      </c>
      <c r="F30" s="3"/>
      <c r="G30" s="6"/>
    </row>
    <row r="31" spans="1:7" x14ac:dyDescent="0.25">
      <c r="A31" s="35">
        <v>45652</v>
      </c>
      <c r="B31" s="36" t="s">
        <v>23</v>
      </c>
      <c r="C31" s="37" t="s">
        <v>12</v>
      </c>
      <c r="D31" s="37" t="s">
        <v>3</v>
      </c>
      <c r="E31" s="38">
        <v>8.1300000000000008</v>
      </c>
      <c r="F31" s="38">
        <v>7.74</v>
      </c>
      <c r="G31" s="6"/>
    </row>
    <row r="32" spans="1:7" x14ac:dyDescent="0.25">
      <c r="A32" s="35">
        <v>45652</v>
      </c>
      <c r="B32" s="36" t="s">
        <v>23</v>
      </c>
      <c r="C32" s="37" t="s">
        <v>12</v>
      </c>
      <c r="D32" s="37" t="s">
        <v>3</v>
      </c>
      <c r="E32" s="38">
        <v>1.35</v>
      </c>
      <c r="F32" s="3"/>
      <c r="G32" s="6"/>
    </row>
    <row r="33" spans="1:7" x14ac:dyDescent="0.25">
      <c r="A33" s="35">
        <v>45653</v>
      </c>
      <c r="B33" s="36" t="s">
        <v>23</v>
      </c>
      <c r="C33" s="37" t="s">
        <v>12</v>
      </c>
      <c r="D33" s="37" t="s">
        <v>3</v>
      </c>
      <c r="E33" s="38">
        <v>4.99</v>
      </c>
      <c r="F33" s="3"/>
      <c r="G33" s="6"/>
    </row>
    <row r="34" spans="1:7" x14ac:dyDescent="0.25">
      <c r="A34" s="35">
        <v>45653</v>
      </c>
      <c r="B34" s="36" t="s">
        <v>23</v>
      </c>
      <c r="C34" s="37" t="s">
        <v>4</v>
      </c>
      <c r="D34" s="37" t="s">
        <v>4</v>
      </c>
      <c r="E34" s="40">
        <v>28.53</v>
      </c>
      <c r="F34" s="3"/>
      <c r="G34" s="6"/>
    </row>
    <row r="35" spans="1:7" x14ac:dyDescent="0.25">
      <c r="A35" s="35">
        <v>45654</v>
      </c>
      <c r="B35" s="36" t="s">
        <v>23</v>
      </c>
      <c r="C35" s="37" t="s">
        <v>12</v>
      </c>
      <c r="D35" s="37" t="s">
        <v>3</v>
      </c>
      <c r="E35" s="38">
        <v>11.4</v>
      </c>
      <c r="F35" s="3"/>
      <c r="G35" s="6"/>
    </row>
    <row r="36" spans="1:7" x14ac:dyDescent="0.25">
      <c r="A36" s="35">
        <v>45656</v>
      </c>
      <c r="B36" s="36" t="s">
        <v>23</v>
      </c>
      <c r="C36" s="37" t="s">
        <v>16</v>
      </c>
      <c r="D36" s="37" t="s">
        <v>81</v>
      </c>
      <c r="E36" s="38">
        <v>158.05000000000001</v>
      </c>
      <c r="F36" s="3"/>
      <c r="G36" s="6"/>
    </row>
    <row r="37" spans="1:7" x14ac:dyDescent="0.25">
      <c r="A37" s="35">
        <v>45659</v>
      </c>
      <c r="B37" s="36" t="s">
        <v>23</v>
      </c>
      <c r="C37" s="37" t="s">
        <v>12</v>
      </c>
      <c r="D37" s="37" t="s">
        <v>3</v>
      </c>
      <c r="E37" s="38">
        <v>56.73</v>
      </c>
      <c r="F37" s="3"/>
      <c r="G37" s="6"/>
    </row>
    <row r="38" spans="1:7" x14ac:dyDescent="0.25">
      <c r="A38" s="35">
        <v>45659</v>
      </c>
      <c r="B38" s="36" t="s">
        <v>23</v>
      </c>
      <c r="C38" s="37" t="s">
        <v>12</v>
      </c>
      <c r="D38" s="37" t="s">
        <v>3</v>
      </c>
      <c r="E38" s="38">
        <v>28.78</v>
      </c>
      <c r="F38" s="3"/>
      <c r="G38" s="6"/>
    </row>
    <row r="39" spans="1:7" x14ac:dyDescent="0.25">
      <c r="A39" s="35">
        <v>45659</v>
      </c>
      <c r="B39" s="36" t="s">
        <v>23</v>
      </c>
      <c r="C39" s="37" t="s">
        <v>7</v>
      </c>
      <c r="D39" s="37" t="s">
        <v>81</v>
      </c>
      <c r="E39" s="38">
        <v>24.16</v>
      </c>
      <c r="F39" s="3"/>
      <c r="G39" s="6"/>
    </row>
    <row r="40" spans="1:7" x14ac:dyDescent="0.25">
      <c r="A40" s="35">
        <v>45659</v>
      </c>
      <c r="B40" s="36" t="s">
        <v>23</v>
      </c>
      <c r="C40" s="37" t="s">
        <v>12</v>
      </c>
      <c r="D40" s="37" t="s">
        <v>3</v>
      </c>
      <c r="E40" s="38">
        <v>3.12</v>
      </c>
      <c r="F40" s="3"/>
      <c r="G40" s="6"/>
    </row>
    <row r="41" spans="1:7" x14ac:dyDescent="0.25">
      <c r="A41" s="35">
        <v>45659</v>
      </c>
      <c r="B41" s="36" t="s">
        <v>23</v>
      </c>
      <c r="C41" s="37" t="s">
        <v>12</v>
      </c>
      <c r="D41" s="37" t="s">
        <v>3</v>
      </c>
      <c r="E41" s="38">
        <v>17.88</v>
      </c>
      <c r="F41" s="3"/>
      <c r="G41" s="6"/>
    </row>
    <row r="42" spans="1:7" x14ac:dyDescent="0.25">
      <c r="A42" s="35">
        <v>45659</v>
      </c>
      <c r="B42" s="36" t="s">
        <v>23</v>
      </c>
      <c r="C42" s="37" t="s">
        <v>12</v>
      </c>
      <c r="D42" s="37" t="s">
        <v>3</v>
      </c>
      <c r="E42" s="38">
        <v>14.88</v>
      </c>
      <c r="F42" s="3"/>
      <c r="G42" s="6"/>
    </row>
    <row r="43" spans="1:7" x14ac:dyDescent="0.25">
      <c r="A43" s="35">
        <v>45660</v>
      </c>
      <c r="B43" s="36" t="s">
        <v>23</v>
      </c>
      <c r="C43" s="37" t="s">
        <v>12</v>
      </c>
      <c r="D43" s="37" t="s">
        <v>3</v>
      </c>
      <c r="E43" s="38">
        <v>37.18</v>
      </c>
      <c r="F43" s="38">
        <v>22.61</v>
      </c>
      <c r="G43" s="6"/>
    </row>
    <row r="44" spans="1:7" x14ac:dyDescent="0.25">
      <c r="A44" s="35">
        <v>45660</v>
      </c>
      <c r="B44" s="36" t="s">
        <v>23</v>
      </c>
      <c r="C44" s="37" t="s">
        <v>7</v>
      </c>
      <c r="D44" s="37" t="s">
        <v>81</v>
      </c>
      <c r="E44" s="38">
        <v>18.77</v>
      </c>
      <c r="F44" s="3"/>
      <c r="G44" s="6"/>
    </row>
    <row r="45" spans="1:7" x14ac:dyDescent="0.25">
      <c r="A45" s="35">
        <v>45663</v>
      </c>
      <c r="B45" s="36" t="s">
        <v>23</v>
      </c>
      <c r="C45" s="37" t="s">
        <v>12</v>
      </c>
      <c r="D45" s="37" t="s">
        <v>3</v>
      </c>
      <c r="E45" s="38">
        <v>10.61</v>
      </c>
      <c r="F45" s="3"/>
      <c r="G45" s="6"/>
    </row>
    <row r="46" spans="1:7" x14ac:dyDescent="0.25">
      <c r="A46" s="35">
        <v>45663</v>
      </c>
      <c r="B46" s="36" t="s">
        <v>23</v>
      </c>
      <c r="C46" s="37" t="s">
        <v>40</v>
      </c>
      <c r="D46" s="37" t="s">
        <v>4</v>
      </c>
      <c r="E46" s="38">
        <v>9.64</v>
      </c>
      <c r="F46" s="3"/>
      <c r="G46" s="6"/>
    </row>
    <row r="47" spans="1:7" x14ac:dyDescent="0.25">
      <c r="A47" s="35">
        <v>45663</v>
      </c>
      <c r="B47" s="36" t="s">
        <v>23</v>
      </c>
      <c r="C47" s="37" t="s">
        <v>12</v>
      </c>
      <c r="D47" s="37" t="s">
        <v>3</v>
      </c>
      <c r="E47" s="38">
        <v>28.08</v>
      </c>
      <c r="F47" s="3"/>
      <c r="G47" s="6"/>
    </row>
    <row r="48" spans="1:7" x14ac:dyDescent="0.25">
      <c r="A48" s="35">
        <v>45663</v>
      </c>
      <c r="B48" s="36" t="s">
        <v>23</v>
      </c>
      <c r="C48" s="37" t="s">
        <v>12</v>
      </c>
      <c r="D48" s="37" t="s">
        <v>3</v>
      </c>
      <c r="E48" s="38">
        <v>7.64</v>
      </c>
      <c r="F48" s="3"/>
      <c r="G48" s="6"/>
    </row>
    <row r="49" spans="1:7" x14ac:dyDescent="0.25">
      <c r="A49" s="35">
        <v>45663</v>
      </c>
      <c r="B49" s="36" t="s">
        <v>23</v>
      </c>
      <c r="C49" s="37" t="s">
        <v>12</v>
      </c>
      <c r="D49" s="37" t="s">
        <v>3</v>
      </c>
      <c r="E49" s="38">
        <v>15.79</v>
      </c>
      <c r="F49" s="3"/>
      <c r="G49" s="6"/>
    </row>
    <row r="50" spans="1:7" x14ac:dyDescent="0.25">
      <c r="A50" s="35">
        <v>45664</v>
      </c>
      <c r="B50" s="36" t="s">
        <v>23</v>
      </c>
      <c r="C50" s="37" t="s">
        <v>12</v>
      </c>
      <c r="D50" s="37" t="s">
        <v>3</v>
      </c>
      <c r="E50" s="38">
        <v>34.479999999999997</v>
      </c>
      <c r="F50" s="3"/>
      <c r="G50" s="6"/>
    </row>
    <row r="51" spans="1:7" x14ac:dyDescent="0.25">
      <c r="A51" s="35">
        <v>45665</v>
      </c>
      <c r="B51" s="36" t="s">
        <v>23</v>
      </c>
      <c r="C51" s="37" t="s">
        <v>12</v>
      </c>
      <c r="D51" s="37" t="s">
        <v>3</v>
      </c>
      <c r="E51" s="38">
        <v>7.27</v>
      </c>
      <c r="F51" s="3"/>
      <c r="G51" s="6"/>
    </row>
    <row r="52" spans="1:7" x14ac:dyDescent="0.25">
      <c r="A52" s="35">
        <v>45666</v>
      </c>
      <c r="B52" s="36" t="s">
        <v>23</v>
      </c>
      <c r="C52" s="37" t="s">
        <v>12</v>
      </c>
      <c r="D52" s="37" t="s">
        <v>3</v>
      </c>
      <c r="E52" s="38">
        <v>6.1</v>
      </c>
      <c r="F52" s="3"/>
      <c r="G52" s="6"/>
    </row>
    <row r="53" spans="1:7" x14ac:dyDescent="0.25">
      <c r="A53" s="35">
        <v>45667</v>
      </c>
      <c r="B53" s="36" t="s">
        <v>23</v>
      </c>
      <c r="C53" s="37" t="s">
        <v>12</v>
      </c>
      <c r="D53" s="37" t="s">
        <v>3</v>
      </c>
      <c r="E53" s="38">
        <v>41.33</v>
      </c>
      <c r="F53" s="38">
        <v>3.07</v>
      </c>
      <c r="G53" s="6"/>
    </row>
    <row r="54" spans="1:7" x14ac:dyDescent="0.25">
      <c r="A54" s="35">
        <v>45670</v>
      </c>
      <c r="B54" s="36" t="s">
        <v>23</v>
      </c>
      <c r="C54" s="37" t="s">
        <v>12</v>
      </c>
      <c r="D54" s="37" t="s">
        <v>3</v>
      </c>
      <c r="E54" s="38">
        <v>9.82</v>
      </c>
      <c r="F54" s="3"/>
      <c r="G54" s="6"/>
    </row>
    <row r="55" spans="1:7" x14ac:dyDescent="0.25">
      <c r="A55" s="35">
        <v>45670</v>
      </c>
      <c r="B55" s="36" t="s">
        <v>23</v>
      </c>
      <c r="C55" s="37" t="s">
        <v>12</v>
      </c>
      <c r="D55" s="37" t="s">
        <v>3</v>
      </c>
      <c r="E55" s="38">
        <v>7.18</v>
      </c>
      <c r="F55" s="3"/>
      <c r="G55" s="6"/>
    </row>
    <row r="56" spans="1:7" x14ac:dyDescent="0.25">
      <c r="A56" s="35">
        <v>45670</v>
      </c>
      <c r="B56" s="36" t="s">
        <v>23</v>
      </c>
      <c r="C56" s="37" t="s">
        <v>12</v>
      </c>
      <c r="D56" s="37" t="s">
        <v>3</v>
      </c>
      <c r="E56" s="38">
        <v>31.23</v>
      </c>
      <c r="F56" s="3"/>
      <c r="G56" s="6"/>
    </row>
    <row r="57" spans="1:7" x14ac:dyDescent="0.25">
      <c r="A57" s="35">
        <v>45670</v>
      </c>
      <c r="B57" s="36" t="s">
        <v>23</v>
      </c>
      <c r="C57" s="37" t="s">
        <v>12</v>
      </c>
      <c r="D57" s="37" t="s">
        <v>3</v>
      </c>
      <c r="E57" s="38">
        <v>30.38</v>
      </c>
      <c r="F57" s="3"/>
      <c r="G57" s="6"/>
    </row>
    <row r="58" spans="1:7" x14ac:dyDescent="0.25">
      <c r="A58" s="35">
        <v>45670</v>
      </c>
      <c r="B58" s="36" t="s">
        <v>23</v>
      </c>
      <c r="C58" s="37" t="s">
        <v>12</v>
      </c>
      <c r="D58" s="37" t="s">
        <v>81</v>
      </c>
      <c r="E58" s="38">
        <v>47</v>
      </c>
      <c r="F58" s="3"/>
      <c r="G58" s="6"/>
    </row>
    <row r="59" spans="1:7" x14ac:dyDescent="0.25">
      <c r="A59" s="35">
        <v>45670</v>
      </c>
      <c r="B59" s="36" t="s">
        <v>23</v>
      </c>
      <c r="C59" s="37" t="s">
        <v>4</v>
      </c>
      <c r="D59" s="37" t="s">
        <v>4</v>
      </c>
      <c r="E59" s="40">
        <v>260</v>
      </c>
      <c r="F59" s="3"/>
      <c r="G59" s="6"/>
    </row>
    <row r="60" spans="1:7" x14ac:dyDescent="0.25">
      <c r="A60" s="35">
        <v>45671</v>
      </c>
      <c r="B60" s="36" t="s">
        <v>23</v>
      </c>
      <c r="C60" s="37" t="s">
        <v>12</v>
      </c>
      <c r="D60" s="37" t="s">
        <v>3</v>
      </c>
      <c r="E60" s="38">
        <v>11.09</v>
      </c>
      <c r="F60" s="3"/>
      <c r="G60" s="6"/>
    </row>
    <row r="61" spans="1:7" x14ac:dyDescent="0.25">
      <c r="A61" s="35">
        <v>45635</v>
      </c>
      <c r="B61" s="36" t="s">
        <v>16</v>
      </c>
      <c r="C61" s="37" t="s">
        <v>66</v>
      </c>
      <c r="D61" s="37" t="s">
        <v>6</v>
      </c>
      <c r="E61" s="38">
        <v>2.52</v>
      </c>
      <c r="F61" s="3"/>
      <c r="G61" s="6"/>
    </row>
    <row r="62" spans="1:7" x14ac:dyDescent="0.25">
      <c r="A62" s="35">
        <v>45637</v>
      </c>
      <c r="B62" s="36" t="s">
        <v>16</v>
      </c>
      <c r="C62" s="37" t="s">
        <v>16</v>
      </c>
      <c r="D62" s="37" t="s">
        <v>3</v>
      </c>
      <c r="E62" s="38">
        <v>89.1</v>
      </c>
      <c r="F62" s="3"/>
      <c r="G62" s="6"/>
    </row>
    <row r="63" spans="1:7" x14ac:dyDescent="0.25">
      <c r="A63" s="35">
        <v>45637</v>
      </c>
      <c r="B63" s="36" t="s">
        <v>16</v>
      </c>
      <c r="C63" s="37" t="s">
        <v>16</v>
      </c>
      <c r="D63" s="37" t="s">
        <v>3</v>
      </c>
      <c r="E63" s="38">
        <v>65.900000000000006</v>
      </c>
      <c r="F63" s="3"/>
      <c r="G63" s="6"/>
    </row>
    <row r="64" spans="1:7" x14ac:dyDescent="0.25">
      <c r="A64" s="35">
        <v>45639</v>
      </c>
      <c r="B64" s="36" t="s">
        <v>16</v>
      </c>
      <c r="C64" s="37" t="s">
        <v>16</v>
      </c>
      <c r="D64" s="37" t="s">
        <v>3</v>
      </c>
      <c r="E64" s="38">
        <v>18.43</v>
      </c>
      <c r="F64" s="3"/>
      <c r="G64" s="6"/>
    </row>
    <row r="65" spans="1:7" x14ac:dyDescent="0.25">
      <c r="A65" s="35">
        <v>45639</v>
      </c>
      <c r="B65" s="36" t="s">
        <v>16</v>
      </c>
      <c r="C65" s="37" t="s">
        <v>16</v>
      </c>
      <c r="D65" s="37" t="s">
        <v>15</v>
      </c>
      <c r="E65" s="38">
        <v>19.600000000000001</v>
      </c>
      <c r="F65" s="3"/>
      <c r="G65" s="6"/>
    </row>
    <row r="66" spans="1:7" x14ac:dyDescent="0.25">
      <c r="A66" s="35">
        <v>45639</v>
      </c>
      <c r="B66" s="36" t="s">
        <v>16</v>
      </c>
      <c r="C66" s="37" t="s">
        <v>66</v>
      </c>
      <c r="D66" s="37" t="s">
        <v>6</v>
      </c>
      <c r="E66" s="38">
        <v>54.48</v>
      </c>
      <c r="F66" s="3"/>
      <c r="G66" s="6"/>
    </row>
    <row r="67" spans="1:7" x14ac:dyDescent="0.25">
      <c r="A67" s="35">
        <v>45640</v>
      </c>
      <c r="B67" s="36" t="s">
        <v>16</v>
      </c>
      <c r="C67" s="37" t="s">
        <v>16</v>
      </c>
      <c r="D67" s="37" t="s">
        <v>3</v>
      </c>
      <c r="E67" s="38">
        <v>76.94</v>
      </c>
      <c r="F67" s="3"/>
      <c r="G67" s="6"/>
    </row>
    <row r="68" spans="1:7" x14ac:dyDescent="0.25">
      <c r="A68" s="35">
        <v>46010</v>
      </c>
      <c r="B68" s="36" t="s">
        <v>16</v>
      </c>
      <c r="C68" s="37" t="s">
        <v>16</v>
      </c>
      <c r="D68" s="37" t="s">
        <v>15</v>
      </c>
      <c r="E68" s="38">
        <v>32.44</v>
      </c>
      <c r="F68" s="3"/>
      <c r="G68" s="6"/>
    </row>
    <row r="69" spans="1:7" x14ac:dyDescent="0.25">
      <c r="A69" s="35">
        <v>46010</v>
      </c>
      <c r="B69" s="36" t="s">
        <v>16</v>
      </c>
      <c r="C69" s="37" t="s">
        <v>12</v>
      </c>
      <c r="D69" s="37" t="s">
        <v>15</v>
      </c>
      <c r="E69" s="38">
        <v>31.79</v>
      </c>
      <c r="F69" s="3"/>
      <c r="G69" s="6"/>
    </row>
    <row r="70" spans="1:7" x14ac:dyDescent="0.25">
      <c r="A70" s="35">
        <v>46010</v>
      </c>
      <c r="B70" s="36" t="s">
        <v>16</v>
      </c>
      <c r="C70" s="37" t="s">
        <v>12</v>
      </c>
      <c r="D70" s="37" t="s">
        <v>15</v>
      </c>
      <c r="E70" s="38">
        <v>29</v>
      </c>
      <c r="F70" s="3"/>
      <c r="G70" s="6"/>
    </row>
    <row r="71" spans="1:7" x14ac:dyDescent="0.25">
      <c r="A71" s="35">
        <v>46013</v>
      </c>
      <c r="B71" s="36" t="s">
        <v>16</v>
      </c>
      <c r="C71" s="37" t="s">
        <v>16</v>
      </c>
      <c r="D71" s="37" t="s">
        <v>3</v>
      </c>
      <c r="E71" s="38">
        <v>345.16</v>
      </c>
      <c r="F71" s="38">
        <v>15.72</v>
      </c>
      <c r="G71" s="6"/>
    </row>
    <row r="72" spans="1:7" x14ac:dyDescent="0.25">
      <c r="A72" s="35">
        <v>46013</v>
      </c>
      <c r="B72" s="36" t="s">
        <v>16</v>
      </c>
      <c r="C72" s="37" t="s">
        <v>16</v>
      </c>
      <c r="D72" s="37" t="s">
        <v>5</v>
      </c>
      <c r="E72" s="38">
        <v>7</v>
      </c>
      <c r="F72" s="3"/>
      <c r="G72" s="6"/>
    </row>
    <row r="73" spans="1:7" x14ac:dyDescent="0.25">
      <c r="A73" s="35">
        <v>46014</v>
      </c>
      <c r="B73" s="36" t="s">
        <v>16</v>
      </c>
      <c r="C73" s="37" t="s">
        <v>16</v>
      </c>
      <c r="D73" s="37" t="s">
        <v>3</v>
      </c>
      <c r="E73" s="38">
        <v>64.430000000000007</v>
      </c>
      <c r="F73" s="3"/>
      <c r="G73" s="6"/>
    </row>
    <row r="74" spans="1:7" x14ac:dyDescent="0.25">
      <c r="A74" s="35">
        <v>46017</v>
      </c>
      <c r="B74" s="36" t="s">
        <v>16</v>
      </c>
      <c r="C74" s="37" t="s">
        <v>4</v>
      </c>
      <c r="D74" s="37" t="s">
        <v>4</v>
      </c>
      <c r="E74" s="40">
        <v>84.88</v>
      </c>
      <c r="F74" s="3"/>
      <c r="G74" s="6"/>
    </row>
    <row r="75" spans="1:7" x14ac:dyDescent="0.25">
      <c r="A75" s="35">
        <v>46018</v>
      </c>
      <c r="B75" s="36" t="s">
        <v>16</v>
      </c>
      <c r="C75" s="37" t="s">
        <v>16</v>
      </c>
      <c r="D75" s="37" t="s">
        <v>3</v>
      </c>
      <c r="E75" s="38">
        <v>31.51</v>
      </c>
      <c r="F75" s="3"/>
      <c r="G75" s="6"/>
    </row>
    <row r="76" spans="1:7" x14ac:dyDescent="0.25">
      <c r="A76" s="35">
        <v>46018</v>
      </c>
      <c r="B76" s="36" t="s">
        <v>16</v>
      </c>
      <c r="C76" s="37" t="s">
        <v>16</v>
      </c>
      <c r="D76" s="37" t="s">
        <v>3</v>
      </c>
      <c r="E76" s="38">
        <v>23.95</v>
      </c>
      <c r="F76" s="3"/>
      <c r="G76" s="6"/>
    </row>
    <row r="77" spans="1:7" x14ac:dyDescent="0.25">
      <c r="A77" s="35">
        <v>46018</v>
      </c>
      <c r="B77" s="36" t="s">
        <v>16</v>
      </c>
      <c r="C77" s="37" t="s">
        <v>16</v>
      </c>
      <c r="D77" s="37" t="s">
        <v>3</v>
      </c>
      <c r="E77" s="38">
        <v>3.08</v>
      </c>
      <c r="F77" s="3"/>
      <c r="G77" s="6"/>
    </row>
    <row r="78" spans="1:7" x14ac:dyDescent="0.25">
      <c r="A78" s="35">
        <v>45655</v>
      </c>
      <c r="B78" s="36" t="s">
        <v>16</v>
      </c>
      <c r="C78" s="37" t="s">
        <v>16</v>
      </c>
      <c r="D78" s="37" t="s">
        <v>3</v>
      </c>
      <c r="E78" s="38">
        <v>36.6</v>
      </c>
      <c r="F78" s="3"/>
      <c r="G78" s="6"/>
    </row>
    <row r="79" spans="1:7" x14ac:dyDescent="0.25">
      <c r="A79" s="35">
        <v>45655</v>
      </c>
      <c r="B79" s="36" t="s">
        <v>16</v>
      </c>
      <c r="C79" s="37" t="s">
        <v>16</v>
      </c>
      <c r="D79" s="37" t="s">
        <v>3</v>
      </c>
      <c r="E79" s="38">
        <v>21.16</v>
      </c>
      <c r="F79" s="3"/>
      <c r="G79" s="6"/>
    </row>
    <row r="80" spans="1:7" x14ac:dyDescent="0.25">
      <c r="A80" s="35">
        <v>45656</v>
      </c>
      <c r="B80" s="36" t="s">
        <v>16</v>
      </c>
      <c r="C80" s="37" t="s">
        <v>66</v>
      </c>
      <c r="D80" s="37" t="s">
        <v>6</v>
      </c>
      <c r="E80" s="38">
        <v>69.099999999999994</v>
      </c>
      <c r="F80" s="3"/>
      <c r="G80" s="6"/>
    </row>
    <row r="81" spans="1:7" x14ac:dyDescent="0.25">
      <c r="A81" s="35">
        <v>45656</v>
      </c>
      <c r="B81" s="36" t="s">
        <v>16</v>
      </c>
      <c r="C81" s="37" t="s">
        <v>66</v>
      </c>
      <c r="D81" s="37" t="s">
        <v>6</v>
      </c>
      <c r="E81" s="38">
        <v>7.21</v>
      </c>
      <c r="F81" s="3"/>
      <c r="G81" s="6"/>
    </row>
    <row r="82" spans="1:7" x14ac:dyDescent="0.25">
      <c r="A82" s="35">
        <v>45661</v>
      </c>
      <c r="B82" s="36" t="s">
        <v>16</v>
      </c>
      <c r="C82" s="37" t="s">
        <v>16</v>
      </c>
      <c r="D82" s="37" t="s">
        <v>3</v>
      </c>
      <c r="E82" s="38">
        <v>128.94</v>
      </c>
      <c r="F82" s="3"/>
      <c r="G82" s="6"/>
    </row>
    <row r="83" spans="1:7" x14ac:dyDescent="0.25">
      <c r="A83" s="35">
        <v>45661</v>
      </c>
      <c r="B83" s="36" t="s">
        <v>16</v>
      </c>
      <c r="C83" s="37" t="s">
        <v>16</v>
      </c>
      <c r="D83" s="37" t="s">
        <v>3</v>
      </c>
      <c r="E83" s="38">
        <v>60.94</v>
      </c>
      <c r="F83" s="3"/>
      <c r="G83" s="6"/>
    </row>
    <row r="84" spans="1:7" x14ac:dyDescent="0.25">
      <c r="A84" s="35">
        <v>45662</v>
      </c>
      <c r="B84" s="36" t="s">
        <v>16</v>
      </c>
      <c r="C84" s="37" t="s">
        <v>12</v>
      </c>
      <c r="D84" s="37" t="s">
        <v>15</v>
      </c>
      <c r="E84" s="38">
        <v>5.2</v>
      </c>
      <c r="F84" s="3"/>
      <c r="G84" s="6"/>
    </row>
    <row r="85" spans="1:7" x14ac:dyDescent="0.25">
      <c r="A85" s="35">
        <v>45663</v>
      </c>
      <c r="B85" s="36" t="s">
        <v>16</v>
      </c>
      <c r="C85" s="37" t="s">
        <v>12</v>
      </c>
      <c r="D85" s="37" t="s">
        <v>15</v>
      </c>
      <c r="E85" s="38">
        <v>34.950000000000003</v>
      </c>
      <c r="F85" s="3"/>
      <c r="G85" s="6"/>
    </row>
    <row r="86" spans="1:7" x14ac:dyDescent="0.25">
      <c r="A86" s="35">
        <v>45663</v>
      </c>
      <c r="B86" s="36" t="s">
        <v>16</v>
      </c>
      <c r="C86" s="37" t="s">
        <v>12</v>
      </c>
      <c r="D86" s="37" t="s">
        <v>6</v>
      </c>
      <c r="E86" s="38">
        <v>2.25</v>
      </c>
      <c r="F86" s="3"/>
      <c r="G86" s="6"/>
    </row>
    <row r="87" spans="1:7" x14ac:dyDescent="0.25">
      <c r="A87" s="35">
        <v>45663</v>
      </c>
      <c r="B87" s="36" t="s">
        <v>16</v>
      </c>
      <c r="C87" s="37" t="s">
        <v>66</v>
      </c>
      <c r="D87" s="37" t="s">
        <v>6</v>
      </c>
      <c r="E87" s="38">
        <v>6.18</v>
      </c>
      <c r="F87" s="3"/>
      <c r="G87" s="6"/>
    </row>
    <row r="88" spans="1:7" x14ac:dyDescent="0.25">
      <c r="A88" s="8"/>
      <c r="B88" s="4"/>
      <c r="C88" s="5"/>
      <c r="D88" s="5"/>
      <c r="E88" s="3"/>
      <c r="F88" s="3"/>
      <c r="G88" s="6"/>
    </row>
    <row r="89" spans="1:7" x14ac:dyDescent="0.25">
      <c r="A89" s="42" t="s">
        <v>21</v>
      </c>
      <c r="B89" s="43"/>
      <c r="C89" s="2"/>
      <c r="D89" s="2"/>
      <c r="E89" s="38">
        <f>SUM(E2:E87)</f>
        <v>3692.7299999999991</v>
      </c>
      <c r="F89" s="38">
        <f>SUM(F2:F87)</f>
        <v>176.89000000000001</v>
      </c>
      <c r="G89" s="44">
        <f>SUM(G5:G87)</f>
        <v>0</v>
      </c>
    </row>
    <row r="90" spans="1:7" x14ac:dyDescent="0.25">
      <c r="A90" s="45" t="s">
        <v>17</v>
      </c>
      <c r="B90" s="46"/>
      <c r="C90" s="38">
        <f>SUMIF(B2:B87,"Capitol One",F2:F87)</f>
        <v>161.17000000000002</v>
      </c>
      <c r="D90" s="2"/>
      <c r="E90" s="2"/>
      <c r="F90" s="2"/>
      <c r="G90" s="9"/>
    </row>
    <row r="91" spans="1:7" x14ac:dyDescent="0.25">
      <c r="A91" s="42" t="s">
        <v>18</v>
      </c>
      <c r="B91" s="43"/>
      <c r="C91" s="38">
        <f>SUMIF(B2:B87,"Sam's Club",F2:F87)</f>
        <v>15.72</v>
      </c>
      <c r="D91" s="2"/>
      <c r="E91" s="2"/>
      <c r="F91" s="2"/>
      <c r="G91" s="9"/>
    </row>
    <row r="92" spans="1:7" x14ac:dyDescent="0.25">
      <c r="A92" s="45" t="s">
        <v>19</v>
      </c>
      <c r="B92" s="46"/>
      <c r="C92" s="38">
        <f>SUMIF(B3:B89,"Capitol One",E3:E89)+SUMIF(B2:B87,"Capitol One",G3:G89)-C90</f>
        <v>2167.3100000000004</v>
      </c>
      <c r="D92" s="2"/>
      <c r="E92" s="2"/>
      <c r="F92" s="2"/>
      <c r="G92" s="9"/>
    </row>
    <row r="93" spans="1:7" ht="15.75" thickBot="1" x14ac:dyDescent="0.3">
      <c r="A93" s="47" t="s">
        <v>20</v>
      </c>
      <c r="B93" s="48"/>
      <c r="C93" s="49">
        <f>SUMIF(B3:B89,"Sam's Club",E3:E89)+SUMIF(B2:B87,"Sam's Club",G3:G89)-C91</f>
        <v>1337.0200000000002</v>
      </c>
      <c r="D93" s="10"/>
      <c r="E93" s="10"/>
      <c r="F93" s="10"/>
      <c r="G93" s="11"/>
    </row>
  </sheetData>
  <autoFilter ref="A1:G1" xr:uid="{55C6C991-3FFE-4866-967D-4139DF94C020}">
    <sortState xmlns:xlrd2="http://schemas.microsoft.com/office/spreadsheetml/2017/richdata2" ref="A2:G86">
      <sortCondition ref="B1"/>
    </sortState>
  </autoFilter>
  <dataConsolidate/>
  <mergeCells count="5">
    <mergeCell ref="A89:B89"/>
    <mergeCell ref="A90:B90"/>
    <mergeCell ref="A91:B91"/>
    <mergeCell ref="A92:B92"/>
    <mergeCell ref="A93:B93"/>
  </mergeCells>
  <dataValidations count="12">
    <dataValidation type="date" allowBlank="1" showInputMessage="1" showErrorMessage="1" sqref="A28:A29" xr:uid="{E652A16B-25A9-46AE-ADC8-DBE9DC88BB9F}">
      <formula1>A28</formula1>
      <formula2>A111</formula2>
    </dataValidation>
    <dataValidation type="date" allowBlank="1" showInputMessage="1" showErrorMessage="1" sqref="A30:A42" xr:uid="{9ABBFE5C-8CA3-4D61-BEE7-5E1489400762}">
      <formula1>A30</formula1>
      <formula2>A112</formula2>
    </dataValidation>
    <dataValidation type="date" allowBlank="1" showInputMessage="1" showErrorMessage="1" sqref="A2:A21" xr:uid="{4AB73DEA-26BB-48A2-9457-A351F86C3218}">
      <formula1>A2</formula1>
      <formula2>A90</formula2>
    </dataValidation>
    <dataValidation type="date" allowBlank="1" showInputMessage="1" showErrorMessage="1" sqref="A22:A27" xr:uid="{599C0D8C-8011-40EB-BE44-E42C039C7208}">
      <formula1>A22</formula1>
      <formula2>A111</formula2>
    </dataValidation>
    <dataValidation type="date" allowBlank="1" showInputMessage="1" showErrorMessage="1" sqref="A75:A79" xr:uid="{36F43215-0DF8-4FA1-8938-AE76F53C131A}">
      <formula1>A75</formula1>
      <formula2>A100</formula2>
    </dataValidation>
    <dataValidation type="date" allowBlank="1" showInputMessage="1" showErrorMessage="1" sqref="A43:A59" xr:uid="{9D635CA3-E9F6-4138-9E48-BA4E577E1599}">
      <formula1>A43</formula1>
      <formula2>A117</formula2>
    </dataValidation>
    <dataValidation type="date" allowBlank="1" showInputMessage="1" showErrorMessage="1" sqref="A60" xr:uid="{F41C0F81-CF8B-4B40-A517-206EC8551B1F}">
      <formula1>A60</formula1>
      <formula2>A113</formula2>
    </dataValidation>
    <dataValidation type="date" allowBlank="1" showInputMessage="1" showErrorMessage="1" sqref="A61:A68 A80:A86 A88" xr:uid="{189112BC-5304-436F-B8E6-492A8729C6E6}">
      <formula1>A61</formula1>
      <formula2>A98</formula2>
    </dataValidation>
    <dataValidation type="date" allowBlank="1" showInputMessage="1" showErrorMessage="1" sqref="A69:A74 A87" xr:uid="{6500EB1B-64F6-4715-8838-37F711125BE8}">
      <formula1>A69</formula1>
      <formula2>A102</formula2>
    </dataValidation>
    <dataValidation type="list" allowBlank="1" showInputMessage="1" showErrorMessage="1" sqref="B2:B88" xr:uid="{E7CBB241-4E3B-4348-9495-A31008D5769E}">
      <formula1>CCUsed</formula1>
    </dataValidation>
    <dataValidation type="list" allowBlank="1" showInputMessage="1" showErrorMessage="1" sqref="D2:D88" xr:uid="{402DB3B9-33B1-4928-BA29-2B1E9E40F055}">
      <formula1>ItemsDescription</formula1>
    </dataValidation>
    <dataValidation type="list" allowBlank="1" showInputMessage="1" showErrorMessage="1" sqref="C2:C88" xr:uid="{0E750F82-AB04-4F0F-AE46-EBC910B1B151}">
      <formula1>StoresDescription</formula1>
    </dataValidation>
  </dataValidations>
  <pageMargins left="0.25" right="0.25" top="0.75" bottom="0.75" header="0.3" footer="0.3"/>
  <pageSetup paperSize="3" fitToHeight="0" orientation="portrait" r:id="rId1"/>
  <rowBreaks count="1" manualBreakCount="1">
    <brk id="76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ADDF-5C13-4295-B476-B166F0ED1E87}">
  <sheetPr codeName="Sheet2">
    <pageSetUpPr fitToPage="1"/>
  </sheetPr>
  <dimension ref="A1:J96"/>
  <sheetViews>
    <sheetView view="pageBreakPreview" zoomScaleNormal="100" zoomScaleSheetLayoutView="100" workbookViewId="0">
      <pane ySplit="1" topLeftCell="A2" activePane="bottomLeft" state="frozen"/>
      <selection activeCell="C4" sqref="C4"/>
      <selection pane="bottomLeft" activeCell="B32" sqref="B32"/>
    </sheetView>
  </sheetViews>
  <sheetFormatPr defaultRowHeight="15" x14ac:dyDescent="0.25"/>
  <cols>
    <col min="1" max="1" width="11.140625" bestFit="1" customWidth="1"/>
    <col min="2" max="2" width="20" bestFit="1" customWidth="1"/>
    <col min="3" max="3" width="18.85546875" bestFit="1" customWidth="1"/>
    <col min="4" max="4" width="18.140625" bestFit="1" customWidth="1"/>
    <col min="5" max="5" width="12.140625" bestFit="1" customWidth="1"/>
    <col min="6" max="6" width="12.85546875" bestFit="1" customWidth="1"/>
    <col min="7" max="7" width="9.5703125" bestFit="1" customWidth="1"/>
    <col min="8" max="8" width="8.5703125" customWidth="1"/>
    <col min="9" max="9" width="22.28515625" bestFit="1" customWidth="1"/>
    <col min="10" max="10" width="10.7109375" bestFit="1" customWidth="1"/>
  </cols>
  <sheetData>
    <row r="1" spans="1:10" x14ac:dyDescent="0.25">
      <c r="A1" s="31" t="s">
        <v>0</v>
      </c>
      <c r="B1" s="32" t="s">
        <v>24</v>
      </c>
      <c r="C1" s="33" t="s">
        <v>1</v>
      </c>
      <c r="D1" s="33" t="s">
        <v>2</v>
      </c>
      <c r="E1" s="33" t="s">
        <v>25</v>
      </c>
      <c r="F1" s="33" t="s">
        <v>26</v>
      </c>
      <c r="G1" s="34" t="s">
        <v>30</v>
      </c>
    </row>
    <row r="2" spans="1:10" x14ac:dyDescent="0.25">
      <c r="A2" s="35">
        <v>45672</v>
      </c>
      <c r="B2" s="36" t="s">
        <v>23</v>
      </c>
      <c r="C2" s="37" t="s">
        <v>12</v>
      </c>
      <c r="D2" s="37" t="s">
        <v>3</v>
      </c>
      <c r="E2" s="18"/>
      <c r="F2" s="50">
        <v>3.07</v>
      </c>
      <c r="G2" s="14"/>
    </row>
    <row r="3" spans="1:10" x14ac:dyDescent="0.25">
      <c r="A3" s="35">
        <v>45672</v>
      </c>
      <c r="B3" s="36" t="s">
        <v>23</v>
      </c>
      <c r="C3" s="37" t="s">
        <v>12</v>
      </c>
      <c r="D3" s="37" t="s">
        <v>3</v>
      </c>
      <c r="E3" s="50">
        <v>46.37</v>
      </c>
      <c r="F3" s="18"/>
      <c r="G3" s="6"/>
    </row>
    <row r="4" spans="1:10" x14ac:dyDescent="0.25">
      <c r="A4" s="35">
        <v>45672</v>
      </c>
      <c r="B4" s="36" t="s">
        <v>23</v>
      </c>
      <c r="C4" s="37" t="s">
        <v>87</v>
      </c>
      <c r="D4" s="37" t="s">
        <v>81</v>
      </c>
      <c r="E4" s="50">
        <v>17.27</v>
      </c>
      <c r="F4" s="18"/>
      <c r="G4" s="6"/>
    </row>
    <row r="5" spans="1:10" x14ac:dyDescent="0.25">
      <c r="A5" s="35">
        <v>45675</v>
      </c>
      <c r="B5" s="36" t="s">
        <v>23</v>
      </c>
      <c r="C5" s="37" t="s">
        <v>12</v>
      </c>
      <c r="D5" s="37" t="s">
        <v>3</v>
      </c>
      <c r="E5" s="50">
        <v>14.09</v>
      </c>
      <c r="F5" s="18"/>
      <c r="G5" s="6"/>
      <c r="I5" s="39" t="s">
        <v>81</v>
      </c>
      <c r="J5" s="38">
        <f t="shared" ref="J5:J11" si="0">SUMIF($D$2:$D$88,I5,$E$2:$E$88)-SUMIF($D$2:$D$88,I5,$F$2:$F$88)</f>
        <v>17.27</v>
      </c>
    </row>
    <row r="6" spans="1:10" x14ac:dyDescent="0.25">
      <c r="A6" s="35">
        <v>45675</v>
      </c>
      <c r="B6" s="36" t="s">
        <v>23</v>
      </c>
      <c r="C6" s="37" t="s">
        <v>44</v>
      </c>
      <c r="D6" s="37" t="s">
        <v>4</v>
      </c>
      <c r="E6" s="50">
        <v>8.2799999999999994</v>
      </c>
      <c r="F6" s="18"/>
      <c r="G6" s="6"/>
      <c r="I6" s="39" t="s">
        <v>5</v>
      </c>
      <c r="J6" s="38">
        <f t="shared" si="0"/>
        <v>29</v>
      </c>
    </row>
    <row r="7" spans="1:10" x14ac:dyDescent="0.25">
      <c r="A7" s="35">
        <v>45675</v>
      </c>
      <c r="B7" s="36" t="s">
        <v>23</v>
      </c>
      <c r="C7" s="37" t="s">
        <v>12</v>
      </c>
      <c r="D7" s="37" t="s">
        <v>3</v>
      </c>
      <c r="E7" s="50">
        <v>7.42</v>
      </c>
      <c r="F7" s="18"/>
      <c r="G7" s="6"/>
      <c r="I7" s="39" t="s">
        <v>6</v>
      </c>
      <c r="J7" s="38">
        <f t="shared" si="0"/>
        <v>307.66999999999996</v>
      </c>
    </row>
    <row r="8" spans="1:10" x14ac:dyDescent="0.25">
      <c r="A8" s="35">
        <v>45677</v>
      </c>
      <c r="B8" s="36" t="s">
        <v>23</v>
      </c>
      <c r="C8" s="37" t="s">
        <v>66</v>
      </c>
      <c r="D8" s="37" t="s">
        <v>6</v>
      </c>
      <c r="E8" s="50">
        <v>10</v>
      </c>
      <c r="F8" s="18"/>
      <c r="G8" s="19"/>
      <c r="I8" s="39" t="s">
        <v>15</v>
      </c>
      <c r="J8" s="38">
        <f t="shared" si="0"/>
        <v>133.14000000000001</v>
      </c>
    </row>
    <row r="9" spans="1:10" x14ac:dyDescent="0.25">
      <c r="A9" s="35">
        <v>45677</v>
      </c>
      <c r="B9" s="36" t="s">
        <v>23</v>
      </c>
      <c r="C9" s="37" t="s">
        <v>62</v>
      </c>
      <c r="D9" s="37" t="s">
        <v>84</v>
      </c>
      <c r="E9" s="50">
        <v>30.94</v>
      </c>
      <c r="F9" s="18"/>
      <c r="G9" s="6"/>
      <c r="I9" s="39" t="s">
        <v>3</v>
      </c>
      <c r="J9" s="38">
        <f t="shared" si="0"/>
        <v>408.18999999999994</v>
      </c>
    </row>
    <row r="10" spans="1:10" x14ac:dyDescent="0.25">
      <c r="A10" s="35">
        <v>45677</v>
      </c>
      <c r="B10" s="36" t="s">
        <v>23</v>
      </c>
      <c r="C10" s="37" t="s">
        <v>7</v>
      </c>
      <c r="D10" s="37" t="s">
        <v>81</v>
      </c>
      <c r="E10" s="50">
        <v>20.51</v>
      </c>
      <c r="F10" s="50">
        <v>20.51</v>
      </c>
      <c r="G10" s="6"/>
      <c r="I10" s="39" t="s">
        <v>4</v>
      </c>
      <c r="J10" s="38">
        <f t="shared" si="0"/>
        <v>8.2799999999999994</v>
      </c>
    </row>
    <row r="11" spans="1:10" x14ac:dyDescent="0.25">
      <c r="A11" s="35">
        <v>45677</v>
      </c>
      <c r="B11" s="36" t="s">
        <v>23</v>
      </c>
      <c r="C11" s="37" t="s">
        <v>14</v>
      </c>
      <c r="D11" s="37" t="s">
        <v>5</v>
      </c>
      <c r="E11" s="50">
        <v>5</v>
      </c>
      <c r="F11" s="18"/>
      <c r="G11" s="6"/>
      <c r="I11" s="39" t="s">
        <v>84</v>
      </c>
      <c r="J11" s="38">
        <f t="shared" si="0"/>
        <v>30.94</v>
      </c>
    </row>
    <row r="12" spans="1:10" x14ac:dyDescent="0.25">
      <c r="A12" s="35">
        <v>45677</v>
      </c>
      <c r="B12" s="36" t="s">
        <v>23</v>
      </c>
      <c r="C12" s="37" t="s">
        <v>14</v>
      </c>
      <c r="D12" s="37" t="s">
        <v>5</v>
      </c>
      <c r="E12" s="50">
        <v>6</v>
      </c>
      <c r="F12" s="18"/>
      <c r="G12" s="6"/>
      <c r="I12" s="39" t="s">
        <v>30</v>
      </c>
      <c r="J12" s="38">
        <f>SUMIF($D$2:$D$88,I12,$G$2:$G$88)-SUMIF($D$2:$D$88,I12,$F$2:$F$88)</f>
        <v>0</v>
      </c>
    </row>
    <row r="13" spans="1:10" x14ac:dyDescent="0.25">
      <c r="A13" s="35">
        <v>45678</v>
      </c>
      <c r="B13" s="36" t="s">
        <v>23</v>
      </c>
      <c r="C13" s="37" t="s">
        <v>12</v>
      </c>
      <c r="D13" s="37" t="s">
        <v>3</v>
      </c>
      <c r="E13" s="50">
        <v>15.77</v>
      </c>
      <c r="F13" s="18"/>
      <c r="G13" s="6"/>
    </row>
    <row r="14" spans="1:10" x14ac:dyDescent="0.25">
      <c r="A14" s="35">
        <v>45678</v>
      </c>
      <c r="B14" s="36" t="s">
        <v>23</v>
      </c>
      <c r="C14" s="37" t="s">
        <v>12</v>
      </c>
      <c r="D14" s="37" t="s">
        <v>3</v>
      </c>
      <c r="E14" s="50">
        <v>56.76</v>
      </c>
      <c r="F14" s="18"/>
      <c r="G14" s="6"/>
    </row>
    <row r="15" spans="1:10" x14ac:dyDescent="0.25">
      <c r="A15" s="35">
        <v>45681</v>
      </c>
      <c r="B15" s="36" t="s">
        <v>23</v>
      </c>
      <c r="C15" s="37" t="s">
        <v>12</v>
      </c>
      <c r="D15" s="37" t="s">
        <v>3</v>
      </c>
      <c r="E15" s="50">
        <v>31.66</v>
      </c>
      <c r="F15" s="50">
        <v>14.09</v>
      </c>
      <c r="G15" s="6"/>
    </row>
    <row r="16" spans="1:10" x14ac:dyDescent="0.25">
      <c r="A16" s="35">
        <v>45681</v>
      </c>
      <c r="B16" s="36" t="s">
        <v>23</v>
      </c>
      <c r="C16" s="37" t="s">
        <v>14</v>
      </c>
      <c r="D16" s="37" t="s">
        <v>5</v>
      </c>
      <c r="E16" s="50">
        <v>18</v>
      </c>
      <c r="F16" s="18"/>
      <c r="G16" s="6"/>
    </row>
    <row r="17" spans="1:7" x14ac:dyDescent="0.25">
      <c r="A17" s="35">
        <v>45667</v>
      </c>
      <c r="B17" s="36" t="s">
        <v>16</v>
      </c>
      <c r="C17" s="37" t="s">
        <v>16</v>
      </c>
      <c r="D17" s="37" t="s">
        <v>15</v>
      </c>
      <c r="E17" s="50">
        <v>28.35</v>
      </c>
      <c r="F17" s="18"/>
      <c r="G17" s="6"/>
    </row>
    <row r="18" spans="1:7" x14ac:dyDescent="0.25">
      <c r="A18" s="35">
        <v>45670</v>
      </c>
      <c r="B18" s="36" t="s">
        <v>16</v>
      </c>
      <c r="C18" s="37" t="s">
        <v>66</v>
      </c>
      <c r="D18" s="37" t="s">
        <v>6</v>
      </c>
      <c r="E18" s="50">
        <v>7.72</v>
      </c>
      <c r="F18" s="18"/>
      <c r="G18" s="6"/>
    </row>
    <row r="19" spans="1:7" x14ac:dyDescent="0.25">
      <c r="A19" s="35">
        <v>45672</v>
      </c>
      <c r="B19" s="36" t="s">
        <v>16</v>
      </c>
      <c r="C19" s="37" t="s">
        <v>12</v>
      </c>
      <c r="D19" s="37" t="s">
        <v>15</v>
      </c>
      <c r="E19" s="50">
        <v>33.74</v>
      </c>
      <c r="F19" s="18"/>
      <c r="G19" s="6"/>
    </row>
    <row r="20" spans="1:7" x14ac:dyDescent="0.25">
      <c r="A20" s="35">
        <v>45672</v>
      </c>
      <c r="B20" s="36" t="s">
        <v>16</v>
      </c>
      <c r="C20" s="37" t="s">
        <v>66</v>
      </c>
      <c r="D20" s="37" t="s">
        <v>6</v>
      </c>
      <c r="E20" s="50">
        <v>24.31</v>
      </c>
      <c r="F20" s="18"/>
      <c r="G20" s="6"/>
    </row>
    <row r="21" spans="1:7" x14ac:dyDescent="0.25">
      <c r="A21" s="35">
        <v>45672</v>
      </c>
      <c r="B21" s="36" t="s">
        <v>16</v>
      </c>
      <c r="C21" s="37" t="s">
        <v>66</v>
      </c>
      <c r="D21" s="37" t="s">
        <v>6</v>
      </c>
      <c r="E21" s="50">
        <v>4.7300000000000004</v>
      </c>
      <c r="F21" s="18"/>
      <c r="G21" s="6"/>
    </row>
    <row r="22" spans="1:7" x14ac:dyDescent="0.25">
      <c r="A22" s="35">
        <v>45675</v>
      </c>
      <c r="B22" s="36" t="s">
        <v>16</v>
      </c>
      <c r="C22" s="37" t="s">
        <v>66</v>
      </c>
      <c r="D22" s="37" t="s">
        <v>6</v>
      </c>
      <c r="E22" s="50">
        <v>124.49</v>
      </c>
      <c r="F22" s="18"/>
      <c r="G22" s="6"/>
    </row>
    <row r="23" spans="1:7" x14ac:dyDescent="0.25">
      <c r="A23" s="35">
        <v>45675</v>
      </c>
      <c r="B23" s="36" t="s">
        <v>16</v>
      </c>
      <c r="C23" s="37" t="s">
        <v>66</v>
      </c>
      <c r="D23" s="37" t="s">
        <v>6</v>
      </c>
      <c r="E23" s="50">
        <v>14.39</v>
      </c>
      <c r="F23" s="18"/>
      <c r="G23" s="6"/>
    </row>
    <row r="24" spans="1:7" x14ac:dyDescent="0.25">
      <c r="A24" s="35">
        <v>45675</v>
      </c>
      <c r="B24" s="36" t="s">
        <v>16</v>
      </c>
      <c r="C24" s="37" t="s">
        <v>42</v>
      </c>
      <c r="D24" s="37" t="s">
        <v>15</v>
      </c>
      <c r="E24" s="50">
        <v>41.42</v>
      </c>
      <c r="F24" s="18"/>
      <c r="G24" s="6"/>
    </row>
    <row r="25" spans="1:7" x14ac:dyDescent="0.25">
      <c r="A25" s="35">
        <v>45675</v>
      </c>
      <c r="B25" s="36" t="s">
        <v>16</v>
      </c>
      <c r="C25" s="37" t="s">
        <v>66</v>
      </c>
      <c r="D25" s="37" t="s">
        <v>6</v>
      </c>
      <c r="E25" s="50">
        <v>57.12</v>
      </c>
      <c r="F25" s="18"/>
      <c r="G25" s="6"/>
    </row>
    <row r="26" spans="1:7" x14ac:dyDescent="0.25">
      <c r="A26" s="35">
        <v>45675</v>
      </c>
      <c r="B26" s="36" t="s">
        <v>16</v>
      </c>
      <c r="C26" s="37" t="s">
        <v>66</v>
      </c>
      <c r="D26" s="37" t="s">
        <v>6</v>
      </c>
      <c r="E26" s="50">
        <v>64.91</v>
      </c>
      <c r="F26" s="18"/>
      <c r="G26" s="6"/>
    </row>
    <row r="27" spans="1:7" x14ac:dyDescent="0.25">
      <c r="A27" s="35">
        <v>45676</v>
      </c>
      <c r="B27" s="41" t="s">
        <v>16</v>
      </c>
      <c r="C27" s="37" t="s">
        <v>16</v>
      </c>
      <c r="D27" s="37" t="s">
        <v>3</v>
      </c>
      <c r="E27" s="18"/>
      <c r="F27" s="50">
        <v>21.97</v>
      </c>
      <c r="G27" s="6"/>
    </row>
    <row r="28" spans="1:7" x14ac:dyDescent="0.25">
      <c r="A28" s="35">
        <v>45676</v>
      </c>
      <c r="B28" s="41" t="s">
        <v>16</v>
      </c>
      <c r="C28" s="37" t="s">
        <v>16</v>
      </c>
      <c r="D28" s="37" t="s">
        <v>3</v>
      </c>
      <c r="E28" s="18"/>
      <c r="F28" s="50">
        <v>27.47</v>
      </c>
      <c r="G28" s="6"/>
    </row>
    <row r="29" spans="1:7" x14ac:dyDescent="0.25">
      <c r="A29" s="35">
        <v>45676</v>
      </c>
      <c r="B29" s="41" t="s">
        <v>16</v>
      </c>
      <c r="C29" s="37" t="s">
        <v>16</v>
      </c>
      <c r="D29" s="37" t="s">
        <v>3</v>
      </c>
      <c r="E29" s="50">
        <v>192.01</v>
      </c>
      <c r="F29" s="18"/>
      <c r="G29" s="6"/>
    </row>
    <row r="30" spans="1:7" x14ac:dyDescent="0.25">
      <c r="A30" s="35">
        <v>45676</v>
      </c>
      <c r="B30" s="41" t="s">
        <v>16</v>
      </c>
      <c r="C30" s="37" t="s">
        <v>16</v>
      </c>
      <c r="D30" s="37" t="s">
        <v>3</v>
      </c>
      <c r="E30" s="50">
        <v>110.71</v>
      </c>
      <c r="F30" s="18"/>
      <c r="G30" s="6"/>
    </row>
    <row r="31" spans="1:7" x14ac:dyDescent="0.25">
      <c r="A31" s="35">
        <v>45680</v>
      </c>
      <c r="B31" s="41" t="s">
        <v>16</v>
      </c>
      <c r="C31" s="37" t="s">
        <v>12</v>
      </c>
      <c r="D31" s="37" t="s">
        <v>15</v>
      </c>
      <c r="E31" s="50">
        <v>29.63</v>
      </c>
      <c r="F31" s="18"/>
      <c r="G31" s="6"/>
    </row>
    <row r="32" spans="1:7" x14ac:dyDescent="0.25">
      <c r="A32" s="8"/>
      <c r="B32" s="7"/>
      <c r="C32" s="5"/>
      <c r="D32" s="5"/>
      <c r="E32" s="18"/>
      <c r="F32" s="18"/>
      <c r="G32" s="6"/>
    </row>
    <row r="33" spans="1:7" x14ac:dyDescent="0.25">
      <c r="A33" s="8"/>
      <c r="B33" s="7"/>
      <c r="C33" s="5"/>
      <c r="D33" s="5"/>
      <c r="E33" s="18"/>
      <c r="F33" s="18"/>
      <c r="G33" s="6"/>
    </row>
    <row r="34" spans="1:7" x14ac:dyDescent="0.25">
      <c r="A34" s="8"/>
      <c r="B34" s="7"/>
      <c r="C34" s="5"/>
      <c r="D34" s="5"/>
      <c r="E34" s="18"/>
      <c r="F34" s="18"/>
      <c r="G34" s="6"/>
    </row>
    <row r="35" spans="1:7" x14ac:dyDescent="0.25">
      <c r="A35" s="8"/>
      <c r="B35" s="7"/>
      <c r="C35" s="5"/>
      <c r="D35" s="5"/>
      <c r="E35" s="18"/>
      <c r="F35" s="18"/>
      <c r="G35" s="6"/>
    </row>
    <row r="36" spans="1:7" x14ac:dyDescent="0.25">
      <c r="A36" s="8"/>
      <c r="B36" s="7"/>
      <c r="C36" s="5"/>
      <c r="D36" s="5"/>
      <c r="E36" s="18"/>
      <c r="F36" s="18"/>
      <c r="G36" s="6"/>
    </row>
    <row r="37" spans="1:7" x14ac:dyDescent="0.25">
      <c r="A37" s="8"/>
      <c r="B37" s="7"/>
      <c r="C37" s="5"/>
      <c r="D37" s="5"/>
      <c r="E37" s="18"/>
      <c r="F37" s="18"/>
      <c r="G37" s="6"/>
    </row>
    <row r="38" spans="1:7" x14ac:dyDescent="0.25">
      <c r="A38" s="8"/>
      <c r="B38" s="4"/>
      <c r="C38" s="5"/>
      <c r="D38" s="5"/>
      <c r="E38" s="18"/>
      <c r="F38" s="18"/>
      <c r="G38" s="6"/>
    </row>
    <row r="39" spans="1:7" x14ac:dyDescent="0.25">
      <c r="A39" s="8"/>
      <c r="B39" s="4"/>
      <c r="C39" s="5"/>
      <c r="D39" s="5"/>
      <c r="E39" s="18"/>
      <c r="F39" s="18"/>
      <c r="G39" s="6"/>
    </row>
    <row r="40" spans="1:7" x14ac:dyDescent="0.25">
      <c r="A40" s="8"/>
      <c r="B40" s="4"/>
      <c r="C40" s="5"/>
      <c r="D40" s="5"/>
      <c r="E40" s="3"/>
      <c r="F40" s="3"/>
      <c r="G40" s="6"/>
    </row>
    <row r="41" spans="1:7" x14ac:dyDescent="0.25">
      <c r="A41" s="8"/>
      <c r="B41" s="4"/>
      <c r="C41" s="5"/>
      <c r="D41" s="5"/>
      <c r="E41" s="3"/>
      <c r="F41" s="3"/>
      <c r="G41" s="6"/>
    </row>
    <row r="42" spans="1:7" x14ac:dyDescent="0.25">
      <c r="A42" s="8"/>
      <c r="B42" s="4"/>
      <c r="C42" s="5"/>
      <c r="D42" s="5"/>
      <c r="E42" s="3"/>
      <c r="F42" s="3"/>
      <c r="G42" s="6"/>
    </row>
    <row r="43" spans="1:7" x14ac:dyDescent="0.25">
      <c r="A43" s="8"/>
      <c r="B43" s="4"/>
      <c r="C43" s="5"/>
      <c r="D43" s="5"/>
      <c r="E43" s="3"/>
      <c r="F43" s="3"/>
      <c r="G43" s="6"/>
    </row>
    <row r="44" spans="1:7" x14ac:dyDescent="0.25">
      <c r="A44" s="8"/>
      <c r="B44" s="4"/>
      <c r="C44" s="5"/>
      <c r="D44" s="5"/>
      <c r="E44" s="3"/>
      <c r="F44" s="3"/>
      <c r="G44" s="6"/>
    </row>
    <row r="45" spans="1:7" x14ac:dyDescent="0.25">
      <c r="A45" s="8"/>
      <c r="B45" s="4"/>
      <c r="C45" s="5"/>
      <c r="D45" s="5"/>
      <c r="E45" s="3"/>
      <c r="F45" s="3"/>
      <c r="G45" s="6"/>
    </row>
    <row r="46" spans="1:7" x14ac:dyDescent="0.25">
      <c r="A46" s="8"/>
      <c r="B46" s="4"/>
      <c r="C46" s="5"/>
      <c r="D46" s="5"/>
      <c r="E46" s="3"/>
      <c r="F46" s="3"/>
      <c r="G46" s="6"/>
    </row>
    <row r="47" spans="1:7" x14ac:dyDescent="0.25">
      <c r="A47" s="8"/>
      <c r="B47" s="4"/>
      <c r="C47" s="5"/>
      <c r="D47" s="5"/>
      <c r="E47" s="3"/>
      <c r="F47" s="3"/>
      <c r="G47" s="6"/>
    </row>
    <row r="48" spans="1:7" x14ac:dyDescent="0.25">
      <c r="A48" s="8"/>
      <c r="B48" s="4"/>
      <c r="C48" s="5"/>
      <c r="D48" s="5"/>
      <c r="E48" s="3"/>
      <c r="F48" s="3"/>
      <c r="G48" s="6"/>
    </row>
    <row r="49" spans="1:7" x14ac:dyDescent="0.25">
      <c r="A49" s="8"/>
      <c r="B49" s="4"/>
      <c r="C49" s="5"/>
      <c r="D49" s="5"/>
      <c r="E49" s="3"/>
      <c r="F49" s="3"/>
      <c r="G49" s="6"/>
    </row>
    <row r="50" spans="1:7" x14ac:dyDescent="0.25">
      <c r="A50" s="8"/>
      <c r="B50" s="4"/>
      <c r="C50" s="5"/>
      <c r="D50" s="5"/>
      <c r="E50" s="3"/>
      <c r="F50" s="3"/>
      <c r="G50" s="6"/>
    </row>
    <row r="51" spans="1:7" x14ac:dyDescent="0.25">
      <c r="A51" s="8"/>
      <c r="B51" s="4"/>
      <c r="C51" s="5"/>
      <c r="D51" s="5"/>
      <c r="E51" s="3"/>
      <c r="F51" s="3"/>
      <c r="G51" s="6"/>
    </row>
    <row r="52" spans="1:7" x14ac:dyDescent="0.25">
      <c r="A52" s="8"/>
      <c r="B52" s="4"/>
      <c r="C52" s="5"/>
      <c r="D52" s="5"/>
      <c r="E52" s="3"/>
      <c r="F52" s="3"/>
      <c r="G52" s="9"/>
    </row>
    <row r="53" spans="1:7" x14ac:dyDescent="0.25">
      <c r="A53" s="8"/>
      <c r="B53" s="4"/>
      <c r="C53" s="5"/>
      <c r="D53" s="5"/>
      <c r="E53" s="3"/>
      <c r="F53" s="3"/>
      <c r="G53" s="6"/>
    </row>
    <row r="54" spans="1:7" x14ac:dyDescent="0.25">
      <c r="A54" s="8"/>
      <c r="B54" s="4"/>
      <c r="C54" s="5"/>
      <c r="D54" s="5"/>
      <c r="E54" s="3"/>
      <c r="F54" s="3"/>
      <c r="G54" s="6"/>
    </row>
    <row r="55" spans="1:7" x14ac:dyDescent="0.25">
      <c r="A55" s="8"/>
      <c r="B55" s="4"/>
      <c r="C55" s="5"/>
      <c r="D55" s="5"/>
      <c r="E55" s="3"/>
      <c r="F55" s="3"/>
      <c r="G55" s="6"/>
    </row>
    <row r="56" spans="1:7" x14ac:dyDescent="0.25">
      <c r="A56" s="8"/>
      <c r="B56" s="4"/>
      <c r="C56" s="5"/>
      <c r="D56" s="5"/>
      <c r="E56" s="3"/>
      <c r="F56" s="3"/>
      <c r="G56" s="6"/>
    </row>
    <row r="57" spans="1:7" x14ac:dyDescent="0.25">
      <c r="A57" s="8"/>
      <c r="B57" s="4"/>
      <c r="C57" s="5"/>
      <c r="D57" s="5"/>
      <c r="E57" s="3"/>
      <c r="F57" s="3"/>
      <c r="G57" s="6"/>
    </row>
    <row r="58" spans="1:7" x14ac:dyDescent="0.25">
      <c r="A58" s="8"/>
      <c r="B58" s="4"/>
      <c r="C58" s="5"/>
      <c r="D58" s="5"/>
      <c r="E58" s="3"/>
      <c r="F58" s="3"/>
      <c r="G58" s="6"/>
    </row>
    <row r="59" spans="1:7" x14ac:dyDescent="0.25">
      <c r="A59" s="8"/>
      <c r="B59" s="4"/>
      <c r="C59" s="5"/>
      <c r="D59" s="5"/>
      <c r="E59" s="3"/>
      <c r="F59" s="3"/>
      <c r="G59" s="6"/>
    </row>
    <row r="60" spans="1:7" x14ac:dyDescent="0.25">
      <c r="A60" s="8"/>
      <c r="B60" s="4"/>
      <c r="C60" s="5"/>
      <c r="D60" s="5"/>
      <c r="E60" s="3"/>
      <c r="F60" s="3"/>
      <c r="G60" s="6"/>
    </row>
    <row r="61" spans="1:7" x14ac:dyDescent="0.25">
      <c r="A61" s="8"/>
      <c r="B61" s="4"/>
      <c r="C61" s="5"/>
      <c r="D61" s="5"/>
      <c r="E61" s="3"/>
      <c r="F61" s="3"/>
      <c r="G61" s="6"/>
    </row>
    <row r="62" spans="1:7" x14ac:dyDescent="0.25">
      <c r="A62" s="8"/>
      <c r="B62" s="4"/>
      <c r="C62" s="5"/>
      <c r="D62" s="5"/>
      <c r="E62" s="3"/>
      <c r="F62" s="3"/>
      <c r="G62" s="6"/>
    </row>
    <row r="63" spans="1:7" x14ac:dyDescent="0.25">
      <c r="A63" s="8"/>
      <c r="B63" s="4"/>
      <c r="C63" s="5"/>
      <c r="D63" s="5"/>
      <c r="E63" s="3"/>
      <c r="F63" s="3"/>
      <c r="G63" s="6"/>
    </row>
    <row r="64" spans="1:7" x14ac:dyDescent="0.25">
      <c r="A64" s="8"/>
      <c r="B64" s="4"/>
      <c r="C64" s="5"/>
      <c r="D64" s="5"/>
      <c r="E64" s="3"/>
      <c r="F64" s="3"/>
      <c r="G64" s="6"/>
    </row>
    <row r="65" spans="1:7" x14ac:dyDescent="0.25">
      <c r="A65" s="8"/>
      <c r="B65" s="4"/>
      <c r="C65" s="5"/>
      <c r="D65" s="5"/>
      <c r="E65" s="3"/>
      <c r="F65" s="3"/>
      <c r="G65" s="6"/>
    </row>
    <row r="66" spans="1:7" x14ac:dyDescent="0.25">
      <c r="A66" s="8"/>
      <c r="B66" s="4"/>
      <c r="C66" s="5"/>
      <c r="D66" s="5"/>
      <c r="E66" s="3"/>
      <c r="F66" s="3"/>
      <c r="G66" s="6"/>
    </row>
    <row r="67" spans="1:7" x14ac:dyDescent="0.25">
      <c r="A67" s="8"/>
      <c r="B67" s="4"/>
      <c r="C67" s="5"/>
      <c r="D67" s="5"/>
      <c r="E67" s="3"/>
      <c r="F67" s="3"/>
      <c r="G67" s="6"/>
    </row>
    <row r="68" spans="1:7" x14ac:dyDescent="0.25">
      <c r="A68" s="8"/>
      <c r="B68" s="4"/>
      <c r="C68" s="5"/>
      <c r="D68" s="5"/>
      <c r="E68" s="3"/>
      <c r="F68" s="3"/>
      <c r="G68" s="6"/>
    </row>
    <row r="69" spans="1:7" x14ac:dyDescent="0.25">
      <c r="A69" s="8"/>
      <c r="B69" s="4"/>
      <c r="C69" s="5"/>
      <c r="D69" s="5"/>
      <c r="E69" s="3"/>
      <c r="F69" s="3"/>
      <c r="G69" s="6"/>
    </row>
    <row r="70" spans="1:7" x14ac:dyDescent="0.25">
      <c r="A70" s="8"/>
      <c r="B70" s="4"/>
      <c r="C70" s="5"/>
      <c r="D70" s="5"/>
      <c r="E70" s="3"/>
      <c r="F70" s="3"/>
      <c r="G70" s="6"/>
    </row>
    <row r="71" spans="1:7" x14ac:dyDescent="0.25">
      <c r="A71" s="8"/>
      <c r="B71" s="4"/>
      <c r="C71" s="5"/>
      <c r="D71" s="5"/>
      <c r="E71" s="3"/>
      <c r="F71" s="3"/>
      <c r="G71" s="6"/>
    </row>
    <row r="72" spans="1:7" x14ac:dyDescent="0.25">
      <c r="A72" s="8"/>
      <c r="B72" s="4"/>
      <c r="C72" s="5"/>
      <c r="D72" s="5"/>
      <c r="E72" s="3"/>
      <c r="F72" s="3"/>
      <c r="G72" s="6"/>
    </row>
    <row r="73" spans="1:7" x14ac:dyDescent="0.25">
      <c r="A73" s="8"/>
      <c r="B73" s="4"/>
      <c r="C73" s="5"/>
      <c r="D73" s="5"/>
      <c r="E73" s="3"/>
      <c r="F73" s="3"/>
      <c r="G73" s="6"/>
    </row>
    <row r="74" spans="1:7" x14ac:dyDescent="0.25">
      <c r="A74" s="8"/>
      <c r="B74" s="4"/>
      <c r="C74" s="5"/>
      <c r="D74" s="5"/>
      <c r="E74" s="3"/>
      <c r="F74" s="3"/>
      <c r="G74" s="6"/>
    </row>
    <row r="75" spans="1:7" x14ac:dyDescent="0.25">
      <c r="A75" s="8"/>
      <c r="B75" s="4"/>
      <c r="C75" s="5"/>
      <c r="D75" s="5"/>
      <c r="E75" s="3"/>
      <c r="F75" s="3"/>
      <c r="G75" s="6"/>
    </row>
    <row r="76" spans="1:7" x14ac:dyDescent="0.25">
      <c r="A76" s="8"/>
      <c r="B76" s="4"/>
      <c r="C76" s="5"/>
      <c r="D76" s="5"/>
      <c r="E76" s="3"/>
      <c r="F76" s="3"/>
      <c r="G76" s="6"/>
    </row>
    <row r="77" spans="1:7" x14ac:dyDescent="0.25">
      <c r="A77" s="8"/>
      <c r="B77" s="4"/>
      <c r="C77" s="5"/>
      <c r="D77" s="5"/>
      <c r="E77" s="3"/>
      <c r="F77" s="3"/>
      <c r="G77" s="6"/>
    </row>
    <row r="78" spans="1:7" x14ac:dyDescent="0.25">
      <c r="A78" s="8"/>
      <c r="B78" s="4"/>
      <c r="C78" s="5"/>
      <c r="D78" s="5"/>
      <c r="E78" s="3"/>
      <c r="F78" s="3"/>
      <c r="G78" s="6"/>
    </row>
    <row r="79" spans="1:7" x14ac:dyDescent="0.25">
      <c r="A79" s="8"/>
      <c r="B79" s="4"/>
      <c r="C79" s="5"/>
      <c r="D79" s="5"/>
      <c r="E79" s="3"/>
      <c r="F79" s="3"/>
      <c r="G79" s="6"/>
    </row>
    <row r="80" spans="1:7" x14ac:dyDescent="0.25">
      <c r="A80" s="8"/>
      <c r="B80" s="4"/>
      <c r="C80" s="5"/>
      <c r="D80" s="5"/>
      <c r="E80" s="3"/>
      <c r="F80" s="3"/>
      <c r="G80" s="6"/>
    </row>
    <row r="81" spans="1:7" x14ac:dyDescent="0.25">
      <c r="A81" s="8"/>
      <c r="B81" s="4"/>
      <c r="C81" s="5"/>
      <c r="D81" s="5"/>
      <c r="E81" s="3"/>
      <c r="F81" s="3"/>
      <c r="G81" s="6"/>
    </row>
    <row r="82" spans="1:7" x14ac:dyDescent="0.25">
      <c r="A82" s="8"/>
      <c r="B82" s="4"/>
      <c r="C82" s="5"/>
      <c r="D82" s="5"/>
      <c r="E82" s="3"/>
      <c r="F82" s="3"/>
      <c r="G82" s="6"/>
    </row>
    <row r="83" spans="1:7" x14ac:dyDescent="0.25">
      <c r="A83" s="8"/>
      <c r="B83" s="4"/>
      <c r="C83" s="5"/>
      <c r="D83" s="5"/>
      <c r="E83" s="3"/>
      <c r="F83" s="3"/>
      <c r="G83" s="6"/>
    </row>
    <row r="84" spans="1:7" x14ac:dyDescent="0.25">
      <c r="A84" s="8"/>
      <c r="B84" s="4"/>
      <c r="C84" s="5"/>
      <c r="D84" s="5"/>
      <c r="E84" s="3"/>
      <c r="F84" s="3"/>
      <c r="G84" s="6"/>
    </row>
    <row r="85" spans="1:7" x14ac:dyDescent="0.25">
      <c r="A85" s="8"/>
      <c r="B85" s="4"/>
      <c r="C85" s="5"/>
      <c r="D85" s="5"/>
      <c r="E85" s="3"/>
      <c r="F85" s="3"/>
      <c r="G85" s="6"/>
    </row>
    <row r="86" spans="1:7" x14ac:dyDescent="0.25">
      <c r="A86" s="8"/>
      <c r="B86" s="4"/>
      <c r="C86" s="5"/>
      <c r="D86" s="5"/>
      <c r="E86" s="3"/>
      <c r="F86" s="3"/>
      <c r="G86" s="6"/>
    </row>
    <row r="87" spans="1:7" x14ac:dyDescent="0.25">
      <c r="A87" s="8"/>
      <c r="B87" s="4"/>
      <c r="C87" s="5"/>
      <c r="D87" s="5"/>
      <c r="E87" s="3"/>
      <c r="F87" s="3"/>
      <c r="G87" s="6"/>
    </row>
    <row r="88" spans="1:7" x14ac:dyDescent="0.25">
      <c r="A88" s="8"/>
      <c r="B88" s="4"/>
      <c r="C88" s="5"/>
      <c r="D88" s="5"/>
      <c r="E88" s="3"/>
      <c r="F88" s="3"/>
      <c r="G88" s="6"/>
    </row>
    <row r="89" spans="1:7" x14ac:dyDescent="0.25">
      <c r="A89" s="8"/>
      <c r="B89" s="4"/>
      <c r="C89" s="5"/>
      <c r="D89" s="5"/>
      <c r="E89" s="3"/>
      <c r="F89" s="3"/>
      <c r="G89" s="6"/>
    </row>
    <row r="90" spans="1:7" x14ac:dyDescent="0.25">
      <c r="A90" s="42" t="s">
        <v>21</v>
      </c>
      <c r="B90" s="43"/>
      <c r="C90" s="2"/>
      <c r="D90" s="2"/>
      <c r="E90" s="38">
        <f>SUM(E2:E89)</f>
        <v>1021.6</v>
      </c>
      <c r="F90" s="38">
        <f>SUM(F2:F88)</f>
        <v>87.11</v>
      </c>
      <c r="G90" s="44">
        <f>SUM(G5:G88)</f>
        <v>0</v>
      </c>
    </row>
    <row r="91" spans="1:7" x14ac:dyDescent="0.25">
      <c r="A91" s="45" t="s">
        <v>17</v>
      </c>
      <c r="B91" s="46"/>
      <c r="C91" s="51">
        <f>SUMIF(B2:B88,"Capitol One",F2:F88)</f>
        <v>37.67</v>
      </c>
      <c r="D91" s="2"/>
      <c r="E91" s="2"/>
      <c r="F91" s="2"/>
      <c r="G91" s="9"/>
    </row>
    <row r="92" spans="1:7" x14ac:dyDescent="0.25">
      <c r="A92" s="42" t="s">
        <v>18</v>
      </c>
      <c r="B92" s="43"/>
      <c r="C92" s="38">
        <f>SUMIF(B2:B88,"Sam's Club",F2:F88)</f>
        <v>49.44</v>
      </c>
      <c r="D92" s="2"/>
      <c r="E92" s="2"/>
      <c r="F92" s="2"/>
      <c r="G92" s="9"/>
    </row>
    <row r="93" spans="1:7" x14ac:dyDescent="0.25">
      <c r="A93" s="42" t="s">
        <v>90</v>
      </c>
      <c r="B93" s="43"/>
      <c r="C93" s="51">
        <f>SUMIF(B2:B88,"Discover",F2:F88)</f>
        <v>0</v>
      </c>
      <c r="D93" s="17"/>
      <c r="E93" s="17"/>
      <c r="F93" s="17"/>
      <c r="G93" s="13"/>
    </row>
    <row r="94" spans="1:7" x14ac:dyDescent="0.25">
      <c r="A94" s="42" t="s">
        <v>91</v>
      </c>
      <c r="B94" s="43"/>
      <c r="C94" s="38">
        <f>SUMIF(B2:B89,"Discover",E2:E89)+SUMIF(B1:B87,"Discover",G2:G89)-C93</f>
        <v>0</v>
      </c>
      <c r="D94" s="2"/>
      <c r="E94" s="2"/>
      <c r="F94" s="2"/>
      <c r="G94" s="9"/>
    </row>
    <row r="95" spans="1:7" x14ac:dyDescent="0.25">
      <c r="A95" s="45" t="s">
        <v>19</v>
      </c>
      <c r="B95" s="46"/>
      <c r="C95" s="38">
        <f>SUMIF(B2:B89,"Capitol One",E2:E89)+SUMIF(B2:B89,"Capitol One",G2:G89)-C91</f>
        <v>250.39999999999998</v>
      </c>
      <c r="D95" s="2"/>
      <c r="E95" s="2"/>
      <c r="F95" s="2"/>
      <c r="G95" s="9"/>
    </row>
    <row r="96" spans="1:7" ht="15.75" thickBot="1" x14ac:dyDescent="0.3">
      <c r="A96" s="47" t="s">
        <v>20</v>
      </c>
      <c r="B96" s="48"/>
      <c r="C96" s="49">
        <f>SUMIF(B3:B89,"Sam's Club",E3:E89)+SUMIF(B2:B88,"Sam's Club",G3:G89)-C92</f>
        <v>684.09000000000015</v>
      </c>
      <c r="D96" s="10"/>
      <c r="E96" s="10"/>
      <c r="F96" s="10"/>
      <c r="G96" s="11"/>
    </row>
  </sheetData>
  <autoFilter ref="A1:G1" xr:uid="{55C6C991-3FFE-4866-967D-4139DF94C020}">
    <sortState xmlns:xlrd2="http://schemas.microsoft.com/office/spreadsheetml/2017/richdata2" ref="A2:G89">
      <sortCondition ref="B1"/>
    </sortState>
  </autoFilter>
  <dataConsolidate/>
  <mergeCells count="7">
    <mergeCell ref="A90:B90"/>
    <mergeCell ref="A93:B93"/>
    <mergeCell ref="A94:B94"/>
    <mergeCell ref="A95:B95"/>
    <mergeCell ref="A96:B96"/>
    <mergeCell ref="A91:B91"/>
    <mergeCell ref="A92:B92"/>
  </mergeCells>
  <dataValidations count="14">
    <dataValidation type="date" allowBlank="1" showInputMessage="1" showErrorMessage="1" sqref="A87:A89" xr:uid="{CED8423C-A172-49AE-A5E0-DE2FC57C7AEF}">
      <formula1>A87</formula1>
      <formula2>A119</formula2>
    </dataValidation>
    <dataValidation type="date" allowBlank="1" showInputMessage="1" showErrorMessage="1" sqref="A64:A72 A74:A78 A81:A82" xr:uid="{87D45D5F-D7A4-4AEE-A07D-8EEFFB0DC379}">
      <formula1>A64</formula1>
      <formula2>A108</formula2>
    </dataValidation>
    <dataValidation type="date" allowBlank="1" showInputMessage="1" showErrorMessage="1" sqref="A22:A30" xr:uid="{A57B982E-D6A4-4F6C-89D5-0B0238335F52}">
      <formula1>A22</formula1>
      <formula2>A114</formula2>
    </dataValidation>
    <dataValidation type="date" allowBlank="1" showInputMessage="1" showErrorMessage="1" sqref="A2:A21" xr:uid="{6F237E6B-9C39-4C8D-BC8F-559F2141722F}">
      <formula1>A2</formula1>
      <formula2>A93</formula2>
    </dataValidation>
    <dataValidation type="date" allowBlank="1" showInputMessage="1" showErrorMessage="1" sqref="A38:A42" xr:uid="{BCBA4079-CC9E-40E2-A90C-74A3279867F0}">
      <formula1>A38</formula1>
      <formula2>A123</formula2>
    </dataValidation>
    <dataValidation type="date" allowBlank="1" showInputMessage="1" showErrorMessage="1" sqref="A31:A37" xr:uid="{DDCE8493-D39E-4299-894E-E0AF75AD0488}">
      <formula1>A31</formula1>
      <formula2>A117</formula2>
    </dataValidation>
    <dataValidation type="date" allowBlank="1" showInputMessage="1" showErrorMessage="1" sqref="A58:A61" xr:uid="{91D8E99F-5AF5-404B-8BC5-67384F20EBF8}">
      <formula1>A58</formula1>
      <formula2>A116</formula2>
    </dataValidation>
    <dataValidation type="date" allowBlank="1" showInputMessage="1" showErrorMessage="1" sqref="A62:A63 A73 A79" xr:uid="{78F1D82E-FED4-4462-85EC-AA19525068F0}">
      <formula1>A62</formula1>
      <formula2>A110</formula2>
    </dataValidation>
    <dataValidation type="date" allowBlank="1" showInputMessage="1" showErrorMessage="1" sqref="A80 A83:A86" xr:uid="{B24371C6-71ED-44E8-9C35-C38AF687F6C5}">
      <formula1>A80</formula1>
      <formula2>A120</formula2>
    </dataValidation>
    <dataValidation type="date" allowBlank="1" showInputMessage="1" showErrorMessage="1" sqref="A43:A46" xr:uid="{032209E7-A64C-4CC7-BD94-2FFDAE85D1D3}">
      <formula1>A43</formula1>
      <formula2>A120</formula2>
    </dataValidation>
    <dataValidation type="date" allowBlank="1" showInputMessage="1" showErrorMessage="1" sqref="A47:A57" xr:uid="{90F1147E-5C63-4B27-BCFF-9D16652FB453}">
      <formula1>A47</formula1>
      <formula2>A126</formula2>
    </dataValidation>
    <dataValidation type="list" allowBlank="1" showInputMessage="1" showErrorMessage="1" sqref="C2:C89" xr:uid="{09876EEF-B118-4C3F-A6D3-19FAF7F204CC}">
      <formula1>StoresDescription</formula1>
    </dataValidation>
    <dataValidation type="list" allowBlank="1" showInputMessage="1" showErrorMessage="1" sqref="D2:D89" xr:uid="{FF7E39A1-56E8-49B2-B77C-BE19E34A1FB2}">
      <formula1>ItemsDescription</formula1>
    </dataValidation>
    <dataValidation type="list" allowBlank="1" showInputMessage="1" showErrorMessage="1" sqref="B2:B89" xr:uid="{F3B7B2B3-213C-4AEE-A65E-3065CAB8E9F2}">
      <formula1>CCUsed</formula1>
    </dataValidation>
  </dataValidations>
  <pageMargins left="0.7" right="0.7" top="0.75" bottom="0.75" header="0.3" footer="0.3"/>
  <pageSetup paperSize="3" scale="7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0D82-0294-4B8C-9020-C231CC73E7CC}">
  <sheetPr codeName="Sheet3">
    <pageSetUpPr fitToPage="1"/>
  </sheetPr>
  <dimension ref="A1:J111"/>
  <sheetViews>
    <sheetView zoomScaleNormal="100" zoomScaleSheetLayoutView="62" workbookViewId="0">
      <pane ySplit="1" topLeftCell="A7" activePane="bottomLeft" state="frozen"/>
      <selection activeCell="C4" sqref="C4"/>
      <selection pane="bottomLeft" activeCell="E25" sqref="E25"/>
    </sheetView>
  </sheetViews>
  <sheetFormatPr defaultRowHeight="15" x14ac:dyDescent="0.25"/>
  <cols>
    <col min="1" max="1" width="9.7109375" bestFit="1" customWidth="1"/>
    <col min="2" max="2" width="13.5703125" bestFit="1" customWidth="1"/>
    <col min="3" max="3" width="16.5703125" bestFit="1" customWidth="1"/>
    <col min="4" max="4" width="16" bestFit="1" customWidth="1"/>
    <col min="5" max="5" width="10.5703125" bestFit="1" customWidth="1"/>
    <col min="6" max="6" width="9" bestFit="1" customWidth="1"/>
    <col min="7" max="7" width="7" bestFit="1" customWidth="1"/>
    <col min="8" max="8" width="8.5703125" customWidth="1"/>
    <col min="9" max="9" width="20.28515625" bestFit="1" customWidth="1"/>
    <col min="10" max="10" width="9.7109375" bestFit="1" customWidth="1"/>
  </cols>
  <sheetData>
    <row r="1" spans="1:10" x14ac:dyDescent="0.25">
      <c r="A1" s="31" t="s">
        <v>0</v>
      </c>
      <c r="B1" s="32" t="s">
        <v>24</v>
      </c>
      <c r="C1" s="33" t="s">
        <v>1</v>
      </c>
      <c r="D1" s="33" t="s">
        <v>2</v>
      </c>
      <c r="E1" s="33" t="s">
        <v>25</v>
      </c>
      <c r="F1" s="33" t="s">
        <v>26</v>
      </c>
      <c r="G1" s="34" t="s">
        <v>30</v>
      </c>
    </row>
    <row r="2" spans="1:10" x14ac:dyDescent="0.25">
      <c r="A2" s="35">
        <v>45701</v>
      </c>
      <c r="B2" s="36" t="s">
        <v>23</v>
      </c>
      <c r="C2" s="37" t="s">
        <v>105</v>
      </c>
      <c r="D2" s="37" t="s">
        <v>81</v>
      </c>
      <c r="E2" s="38">
        <v>28.68</v>
      </c>
      <c r="F2" s="3"/>
      <c r="G2" s="14"/>
    </row>
    <row r="3" spans="1:10" x14ac:dyDescent="0.25">
      <c r="A3" s="35">
        <v>45702</v>
      </c>
      <c r="B3" s="36" t="s">
        <v>23</v>
      </c>
      <c r="C3" s="37" t="s">
        <v>12</v>
      </c>
      <c r="D3" s="37" t="s">
        <v>3</v>
      </c>
      <c r="E3" s="38">
        <v>31.51</v>
      </c>
      <c r="F3" s="3"/>
      <c r="G3" s="6"/>
    </row>
    <row r="4" spans="1:10" x14ac:dyDescent="0.25">
      <c r="A4" s="35">
        <v>45703</v>
      </c>
      <c r="B4" s="36" t="s">
        <v>23</v>
      </c>
      <c r="C4" s="37" t="s">
        <v>87</v>
      </c>
      <c r="D4" s="37" t="s">
        <v>87</v>
      </c>
      <c r="E4" s="38">
        <v>17.27</v>
      </c>
      <c r="F4" s="3"/>
      <c r="G4" s="6"/>
    </row>
    <row r="5" spans="1:10" x14ac:dyDescent="0.25">
      <c r="A5" s="35">
        <v>45705</v>
      </c>
      <c r="B5" s="36" t="s">
        <v>23</v>
      </c>
      <c r="C5" s="37" t="s">
        <v>12</v>
      </c>
      <c r="D5" s="37" t="s">
        <v>3</v>
      </c>
      <c r="E5" s="38">
        <v>27.82</v>
      </c>
      <c r="F5" s="38">
        <v>27.82</v>
      </c>
      <c r="G5" s="6"/>
      <c r="I5" s="39" t="s">
        <v>81</v>
      </c>
      <c r="J5" s="38">
        <f t="shared" ref="J5:J11" si="0">SUMIF($D$2:$D$90,I5,$E$2:$E$90)-SUMIF($D$2:$D$90,I5,$F$2:$F$90)</f>
        <v>461.72</v>
      </c>
    </row>
    <row r="6" spans="1:10" x14ac:dyDescent="0.25">
      <c r="A6" s="35">
        <v>45705</v>
      </c>
      <c r="B6" s="36" t="s">
        <v>23</v>
      </c>
      <c r="C6" s="37" t="s">
        <v>12</v>
      </c>
      <c r="D6" s="37" t="s">
        <v>3</v>
      </c>
      <c r="E6" s="38">
        <v>9.65</v>
      </c>
      <c r="F6" s="3"/>
      <c r="G6" s="6"/>
      <c r="I6" s="39" t="s">
        <v>5</v>
      </c>
      <c r="J6" s="38">
        <f t="shared" si="0"/>
        <v>253.73999999999998</v>
      </c>
    </row>
    <row r="7" spans="1:10" x14ac:dyDescent="0.25">
      <c r="A7" s="35">
        <v>45705</v>
      </c>
      <c r="B7" s="36" t="s">
        <v>23</v>
      </c>
      <c r="C7" s="37" t="s">
        <v>59</v>
      </c>
      <c r="D7" s="37" t="s">
        <v>81</v>
      </c>
      <c r="E7" s="38">
        <v>5.14</v>
      </c>
      <c r="F7" s="38">
        <v>37.56</v>
      </c>
      <c r="G7" s="6"/>
      <c r="I7" s="39" t="s">
        <v>6</v>
      </c>
      <c r="J7" s="38">
        <f t="shared" si="0"/>
        <v>834.62</v>
      </c>
    </row>
    <row r="8" spans="1:10" x14ac:dyDescent="0.25">
      <c r="A8" s="35">
        <v>45705</v>
      </c>
      <c r="B8" s="36" t="s">
        <v>23</v>
      </c>
      <c r="C8" s="37" t="s">
        <v>7</v>
      </c>
      <c r="D8" s="37" t="s">
        <v>81</v>
      </c>
      <c r="E8" s="38">
        <v>5.98</v>
      </c>
      <c r="F8" s="3"/>
      <c r="G8" s="6"/>
      <c r="I8" s="39" t="s">
        <v>15</v>
      </c>
      <c r="J8" s="38">
        <f t="shared" si="0"/>
        <v>279.3</v>
      </c>
    </row>
    <row r="9" spans="1:10" x14ac:dyDescent="0.25">
      <c r="A9" s="35">
        <v>45705</v>
      </c>
      <c r="B9" s="36" t="s">
        <v>23</v>
      </c>
      <c r="C9" s="37" t="s">
        <v>7</v>
      </c>
      <c r="D9" s="37" t="s">
        <v>81</v>
      </c>
      <c r="E9" s="38">
        <v>5.03</v>
      </c>
      <c r="F9" s="3"/>
      <c r="G9" s="6"/>
      <c r="I9" s="39" t="s">
        <v>3</v>
      </c>
      <c r="J9" s="38">
        <f t="shared" si="0"/>
        <v>531.96</v>
      </c>
    </row>
    <row r="10" spans="1:10" x14ac:dyDescent="0.25">
      <c r="A10" s="35">
        <v>45705</v>
      </c>
      <c r="B10" s="36" t="s">
        <v>23</v>
      </c>
      <c r="C10" s="37" t="s">
        <v>12</v>
      </c>
      <c r="D10" s="37" t="s">
        <v>3</v>
      </c>
      <c r="E10" s="38">
        <v>6.15</v>
      </c>
      <c r="F10" s="3"/>
      <c r="G10" s="6"/>
      <c r="I10" s="39" t="s">
        <v>4</v>
      </c>
      <c r="J10" s="38">
        <f t="shared" si="0"/>
        <v>109.71</v>
      </c>
    </row>
    <row r="11" spans="1:10" x14ac:dyDescent="0.25">
      <c r="A11" s="35">
        <v>45707</v>
      </c>
      <c r="B11" s="36" t="s">
        <v>23</v>
      </c>
      <c r="C11" s="37" t="s">
        <v>12</v>
      </c>
      <c r="D11" s="37" t="s">
        <v>3</v>
      </c>
      <c r="E11" s="38">
        <v>7.5</v>
      </c>
      <c r="F11" s="3"/>
      <c r="G11" s="6"/>
      <c r="I11" s="39" t="s">
        <v>84</v>
      </c>
      <c r="J11" s="38">
        <f t="shared" si="0"/>
        <v>30.94</v>
      </c>
    </row>
    <row r="12" spans="1:10" x14ac:dyDescent="0.25">
      <c r="A12" s="35">
        <v>45707</v>
      </c>
      <c r="B12" s="36" t="s">
        <v>23</v>
      </c>
      <c r="C12" s="37" t="s">
        <v>62</v>
      </c>
      <c r="D12" s="37" t="s">
        <v>84</v>
      </c>
      <c r="E12" s="38">
        <v>30.94</v>
      </c>
      <c r="F12" s="3"/>
      <c r="G12" s="6"/>
      <c r="I12" s="39" t="s">
        <v>30</v>
      </c>
      <c r="J12" s="38">
        <f>SUMIF($D$2:$D$90,I12,$G$2:$G$90)-SUMIF($D$2:$D$90,I12,$F$2:$F$90)</f>
        <v>0</v>
      </c>
    </row>
    <row r="13" spans="1:10" x14ac:dyDescent="0.25">
      <c r="A13" s="35">
        <v>45707</v>
      </c>
      <c r="B13" s="36" t="s">
        <v>23</v>
      </c>
      <c r="C13" s="37" t="s">
        <v>12</v>
      </c>
      <c r="D13" s="37" t="s">
        <v>3</v>
      </c>
      <c r="E13" s="38">
        <v>23.34</v>
      </c>
      <c r="F13" s="3"/>
      <c r="G13" s="6"/>
    </row>
    <row r="14" spans="1:10" x14ac:dyDescent="0.25">
      <c r="A14" s="35">
        <v>45709</v>
      </c>
      <c r="B14" s="36" t="s">
        <v>23</v>
      </c>
      <c r="C14" s="37" t="s">
        <v>12</v>
      </c>
      <c r="D14" s="37" t="s">
        <v>3</v>
      </c>
      <c r="E14" s="38">
        <v>7.09</v>
      </c>
      <c r="F14" s="3"/>
      <c r="G14" s="6"/>
    </row>
    <row r="15" spans="1:10" x14ac:dyDescent="0.25">
      <c r="A15" s="35">
        <v>45709</v>
      </c>
      <c r="B15" s="36" t="s">
        <v>23</v>
      </c>
      <c r="C15" s="37" t="s">
        <v>12</v>
      </c>
      <c r="D15" s="37" t="s">
        <v>81</v>
      </c>
      <c r="E15" s="3"/>
      <c r="F15" s="38">
        <v>227.74</v>
      </c>
      <c r="G15" s="9"/>
    </row>
    <row r="16" spans="1:10" x14ac:dyDescent="0.25">
      <c r="A16" s="35">
        <v>45709</v>
      </c>
      <c r="B16" s="36" t="s">
        <v>23</v>
      </c>
      <c r="C16" s="37" t="s">
        <v>38</v>
      </c>
      <c r="D16" s="37" t="s">
        <v>3</v>
      </c>
      <c r="E16" s="38">
        <v>35.090000000000003</v>
      </c>
      <c r="F16" s="3"/>
      <c r="G16" s="6"/>
    </row>
    <row r="17" spans="1:7" x14ac:dyDescent="0.25">
      <c r="A17" s="35">
        <v>45710</v>
      </c>
      <c r="B17" s="36" t="s">
        <v>23</v>
      </c>
      <c r="C17" s="37" t="s">
        <v>66</v>
      </c>
      <c r="D17" s="37" t="s">
        <v>6</v>
      </c>
      <c r="E17" s="38">
        <v>26.72</v>
      </c>
      <c r="F17" s="3"/>
      <c r="G17" s="6"/>
    </row>
    <row r="18" spans="1:7" x14ac:dyDescent="0.25">
      <c r="A18" s="35">
        <v>45710</v>
      </c>
      <c r="B18" s="36" t="s">
        <v>23</v>
      </c>
      <c r="C18" s="37" t="s">
        <v>7</v>
      </c>
      <c r="D18" s="37" t="s">
        <v>81</v>
      </c>
      <c r="E18" s="38">
        <v>7.64</v>
      </c>
      <c r="F18" s="3"/>
      <c r="G18" s="6"/>
    </row>
    <row r="19" spans="1:7" x14ac:dyDescent="0.25">
      <c r="A19" s="35">
        <v>45710</v>
      </c>
      <c r="B19" s="36" t="s">
        <v>23</v>
      </c>
      <c r="C19" s="37" t="s">
        <v>7</v>
      </c>
      <c r="D19" s="37" t="s">
        <v>81</v>
      </c>
      <c r="E19" s="38">
        <v>7.72</v>
      </c>
      <c r="F19" s="3"/>
      <c r="G19" s="6"/>
    </row>
    <row r="20" spans="1:7" x14ac:dyDescent="0.25">
      <c r="A20" s="35">
        <v>45710</v>
      </c>
      <c r="B20" s="36" t="s">
        <v>23</v>
      </c>
      <c r="C20" s="37" t="s">
        <v>41</v>
      </c>
      <c r="D20" s="37" t="s">
        <v>81</v>
      </c>
      <c r="E20" s="38">
        <v>46.38</v>
      </c>
      <c r="F20" s="3"/>
      <c r="G20" s="6"/>
    </row>
    <row r="21" spans="1:7" x14ac:dyDescent="0.25">
      <c r="A21" s="35">
        <v>45712</v>
      </c>
      <c r="B21" s="36" t="s">
        <v>23</v>
      </c>
      <c r="C21" s="37" t="s">
        <v>66</v>
      </c>
      <c r="D21" s="37" t="s">
        <v>6</v>
      </c>
      <c r="E21" s="38">
        <v>5.0199999999999996</v>
      </c>
      <c r="F21" s="3"/>
      <c r="G21" s="6"/>
    </row>
    <row r="22" spans="1:7" x14ac:dyDescent="0.25">
      <c r="A22" s="35">
        <v>45712</v>
      </c>
      <c r="B22" s="36" t="s">
        <v>23</v>
      </c>
      <c r="C22" s="37" t="s">
        <v>14</v>
      </c>
      <c r="D22" s="37" t="s">
        <v>5</v>
      </c>
      <c r="E22" s="38">
        <v>0.45</v>
      </c>
      <c r="F22" s="3"/>
      <c r="G22" s="6"/>
    </row>
    <row r="23" spans="1:7" x14ac:dyDescent="0.25">
      <c r="A23" s="35">
        <v>45712</v>
      </c>
      <c r="B23" s="36" t="s">
        <v>23</v>
      </c>
      <c r="C23" s="37" t="s">
        <v>41</v>
      </c>
      <c r="D23" s="37" t="s">
        <v>81</v>
      </c>
      <c r="E23" s="38">
        <v>66.290000000000006</v>
      </c>
      <c r="F23" s="3"/>
      <c r="G23" s="6"/>
    </row>
    <row r="24" spans="1:7" x14ac:dyDescent="0.25">
      <c r="A24" s="35">
        <v>45712</v>
      </c>
      <c r="B24" s="36" t="s">
        <v>23</v>
      </c>
      <c r="C24" s="37" t="s">
        <v>7</v>
      </c>
      <c r="D24" s="37" t="s">
        <v>81</v>
      </c>
      <c r="E24" s="38">
        <v>17.670000000000002</v>
      </c>
      <c r="F24" s="3"/>
      <c r="G24" s="6"/>
    </row>
    <row r="25" spans="1:7" x14ac:dyDescent="0.25">
      <c r="A25" s="35">
        <v>45712</v>
      </c>
      <c r="B25" s="36" t="s">
        <v>23</v>
      </c>
      <c r="C25" s="37" t="s">
        <v>106</v>
      </c>
      <c r="D25" s="37" t="s">
        <v>81</v>
      </c>
      <c r="E25" s="38">
        <v>8.2899999999999991</v>
      </c>
      <c r="F25" s="3"/>
      <c r="G25" s="6"/>
    </row>
    <row r="26" spans="1:7" x14ac:dyDescent="0.25">
      <c r="A26" s="35">
        <v>45713</v>
      </c>
      <c r="B26" s="36" t="s">
        <v>23</v>
      </c>
      <c r="C26" s="37" t="s">
        <v>12</v>
      </c>
      <c r="D26" s="37" t="s">
        <v>3</v>
      </c>
      <c r="E26" s="38">
        <v>20.58</v>
      </c>
      <c r="F26" s="38">
        <v>20.58</v>
      </c>
      <c r="G26" s="6"/>
    </row>
    <row r="27" spans="1:7" x14ac:dyDescent="0.25">
      <c r="A27" s="35">
        <v>45713</v>
      </c>
      <c r="B27" s="36" t="s">
        <v>23</v>
      </c>
      <c r="C27" s="37" t="s">
        <v>47</v>
      </c>
      <c r="D27" s="37" t="s">
        <v>4</v>
      </c>
      <c r="E27" s="40">
        <v>96.72</v>
      </c>
      <c r="F27" s="3"/>
      <c r="G27" s="6"/>
    </row>
    <row r="28" spans="1:7" x14ac:dyDescent="0.25">
      <c r="A28" s="35">
        <v>45714</v>
      </c>
      <c r="B28" s="36" t="s">
        <v>23</v>
      </c>
      <c r="C28" s="37" t="s">
        <v>12</v>
      </c>
      <c r="D28" s="37" t="s">
        <v>3</v>
      </c>
      <c r="E28" s="38">
        <v>1.52</v>
      </c>
      <c r="F28" s="3"/>
      <c r="G28" s="6"/>
    </row>
    <row r="29" spans="1:7" x14ac:dyDescent="0.25">
      <c r="A29" s="35">
        <v>45715</v>
      </c>
      <c r="B29" s="36" t="s">
        <v>23</v>
      </c>
      <c r="C29" s="37" t="s">
        <v>12</v>
      </c>
      <c r="D29" s="37" t="s">
        <v>3</v>
      </c>
      <c r="E29" s="38">
        <v>4.7</v>
      </c>
      <c r="F29" s="3"/>
      <c r="G29" s="6"/>
    </row>
    <row r="30" spans="1:7" x14ac:dyDescent="0.25">
      <c r="A30" s="35">
        <v>45715</v>
      </c>
      <c r="B30" s="36" t="s">
        <v>23</v>
      </c>
      <c r="C30" s="37" t="s">
        <v>14</v>
      </c>
      <c r="D30" s="37" t="s">
        <v>5</v>
      </c>
      <c r="E30" s="38">
        <v>216.32</v>
      </c>
      <c r="F30" s="3"/>
      <c r="G30" s="6"/>
    </row>
    <row r="31" spans="1:7" x14ac:dyDescent="0.25">
      <c r="A31" s="35">
        <v>45715</v>
      </c>
      <c r="B31" s="36" t="s">
        <v>23</v>
      </c>
      <c r="C31" s="37" t="s">
        <v>38</v>
      </c>
      <c r="D31" s="37" t="s">
        <v>3</v>
      </c>
      <c r="E31" s="38">
        <v>11.51</v>
      </c>
      <c r="F31" s="3"/>
      <c r="G31" s="6"/>
    </row>
    <row r="32" spans="1:7" x14ac:dyDescent="0.25">
      <c r="A32" s="35">
        <v>45716</v>
      </c>
      <c r="B32" s="36" t="s">
        <v>23</v>
      </c>
      <c r="C32" s="37" t="s">
        <v>12</v>
      </c>
      <c r="D32" s="37" t="s">
        <v>3</v>
      </c>
      <c r="E32" s="38">
        <v>1.82</v>
      </c>
      <c r="F32" s="3"/>
      <c r="G32" s="6"/>
    </row>
    <row r="33" spans="1:10" x14ac:dyDescent="0.25">
      <c r="A33" s="35">
        <v>45717</v>
      </c>
      <c r="B33" s="36" t="s">
        <v>23</v>
      </c>
      <c r="C33" s="37" t="s">
        <v>12</v>
      </c>
      <c r="D33" s="37" t="s">
        <v>3</v>
      </c>
      <c r="E33" s="38">
        <v>5.91</v>
      </c>
      <c r="F33" s="3"/>
      <c r="G33" s="6"/>
    </row>
    <row r="34" spans="1:10" x14ac:dyDescent="0.25">
      <c r="A34" s="35">
        <v>45717</v>
      </c>
      <c r="B34" s="36" t="s">
        <v>23</v>
      </c>
      <c r="C34" s="37" t="s">
        <v>34</v>
      </c>
      <c r="D34" s="37" t="s">
        <v>81</v>
      </c>
      <c r="E34" s="38">
        <v>29</v>
      </c>
      <c r="F34" s="3"/>
      <c r="G34" s="6"/>
    </row>
    <row r="35" spans="1:10" x14ac:dyDescent="0.25">
      <c r="A35" s="35">
        <v>45717</v>
      </c>
      <c r="B35" s="36" t="s">
        <v>23</v>
      </c>
      <c r="C35" s="37" t="s">
        <v>13</v>
      </c>
      <c r="D35" s="37" t="s">
        <v>81</v>
      </c>
      <c r="E35" s="38">
        <v>5.9</v>
      </c>
      <c r="F35" s="3"/>
      <c r="G35" s="6"/>
    </row>
    <row r="36" spans="1:10" x14ac:dyDescent="0.25">
      <c r="A36" s="35">
        <v>45717</v>
      </c>
      <c r="B36" s="36" t="s">
        <v>23</v>
      </c>
      <c r="C36" s="37" t="s">
        <v>12</v>
      </c>
      <c r="D36" s="37" t="s">
        <v>3</v>
      </c>
      <c r="E36" s="38">
        <v>15.21</v>
      </c>
      <c r="F36" s="3"/>
      <c r="G36" s="6"/>
    </row>
    <row r="37" spans="1:10" x14ac:dyDescent="0.25">
      <c r="A37" s="35">
        <v>45719</v>
      </c>
      <c r="B37" s="36" t="s">
        <v>23</v>
      </c>
      <c r="C37" s="37" t="s">
        <v>12</v>
      </c>
      <c r="D37" s="37" t="s">
        <v>3</v>
      </c>
      <c r="E37" s="38">
        <v>20.13</v>
      </c>
      <c r="F37" s="3"/>
      <c r="G37" s="6"/>
    </row>
    <row r="38" spans="1:10" x14ac:dyDescent="0.25">
      <c r="A38" s="35">
        <v>45719</v>
      </c>
      <c r="B38" s="36" t="s">
        <v>23</v>
      </c>
      <c r="C38" s="37" t="s">
        <v>12</v>
      </c>
      <c r="D38" s="37" t="s">
        <v>3</v>
      </c>
      <c r="E38" s="38">
        <v>17.34</v>
      </c>
      <c r="F38" s="3"/>
      <c r="G38" s="6"/>
    </row>
    <row r="39" spans="1:10" x14ac:dyDescent="0.25">
      <c r="A39" s="35">
        <v>45719</v>
      </c>
      <c r="B39" s="36" t="s">
        <v>23</v>
      </c>
      <c r="C39" s="37" t="s">
        <v>94</v>
      </c>
      <c r="D39" s="37" t="s">
        <v>81</v>
      </c>
      <c r="E39" s="38">
        <v>58.5</v>
      </c>
      <c r="F39" s="3"/>
      <c r="G39" s="6"/>
    </row>
    <row r="40" spans="1:10" x14ac:dyDescent="0.25">
      <c r="A40" s="35">
        <v>45720</v>
      </c>
      <c r="B40" s="36" t="s">
        <v>23</v>
      </c>
      <c r="C40" s="37" t="s">
        <v>94</v>
      </c>
      <c r="D40" s="37" t="s">
        <v>81</v>
      </c>
      <c r="E40" s="38">
        <v>159.32</v>
      </c>
      <c r="F40" s="3"/>
      <c r="G40" s="6"/>
      <c r="I40" s="29"/>
    </row>
    <row r="41" spans="1:10" x14ac:dyDescent="0.25">
      <c r="A41" s="35">
        <v>45721</v>
      </c>
      <c r="B41" s="36" t="s">
        <v>23</v>
      </c>
      <c r="C41" s="37" t="s">
        <v>12</v>
      </c>
      <c r="D41" s="37" t="s">
        <v>3</v>
      </c>
      <c r="E41" s="38">
        <v>24.84</v>
      </c>
      <c r="F41" s="3"/>
      <c r="G41" s="6"/>
      <c r="J41" s="29"/>
    </row>
    <row r="42" spans="1:10" x14ac:dyDescent="0.25">
      <c r="A42" s="35">
        <v>45721</v>
      </c>
      <c r="B42" s="36" t="s">
        <v>23</v>
      </c>
      <c r="C42" s="37" t="s">
        <v>12</v>
      </c>
      <c r="D42" s="37" t="s">
        <v>3</v>
      </c>
      <c r="E42" s="38">
        <v>34.53</v>
      </c>
      <c r="F42" s="3"/>
      <c r="G42" s="6"/>
    </row>
    <row r="43" spans="1:10" x14ac:dyDescent="0.25">
      <c r="A43" s="35">
        <v>45722</v>
      </c>
      <c r="B43" s="36" t="s">
        <v>23</v>
      </c>
      <c r="C43" s="37" t="s">
        <v>12</v>
      </c>
      <c r="D43" s="37" t="s">
        <v>15</v>
      </c>
      <c r="E43" s="38">
        <v>38</v>
      </c>
      <c r="F43" s="3"/>
      <c r="G43" s="6"/>
    </row>
    <row r="44" spans="1:10" x14ac:dyDescent="0.25">
      <c r="A44" s="35">
        <v>45722</v>
      </c>
      <c r="B44" s="36" t="s">
        <v>23</v>
      </c>
      <c r="C44" s="37" t="s">
        <v>38</v>
      </c>
      <c r="D44" s="37" t="s">
        <v>3</v>
      </c>
      <c r="E44" s="38">
        <v>13.01</v>
      </c>
      <c r="F44" s="3"/>
      <c r="G44" s="6"/>
    </row>
    <row r="45" spans="1:10" x14ac:dyDescent="0.25">
      <c r="A45" s="35">
        <v>45723</v>
      </c>
      <c r="B45" s="36" t="s">
        <v>23</v>
      </c>
      <c r="C45" s="37" t="s">
        <v>43</v>
      </c>
      <c r="D45" s="37" t="s">
        <v>3</v>
      </c>
      <c r="E45" s="38">
        <v>18.7</v>
      </c>
      <c r="F45" s="3"/>
      <c r="G45" s="6"/>
    </row>
    <row r="46" spans="1:10" x14ac:dyDescent="0.25">
      <c r="A46" s="35">
        <v>45723</v>
      </c>
      <c r="B46" s="36" t="s">
        <v>23</v>
      </c>
      <c r="C46" s="37" t="s">
        <v>12</v>
      </c>
      <c r="D46" s="37" t="s">
        <v>3</v>
      </c>
      <c r="E46" s="38">
        <v>38.11</v>
      </c>
      <c r="F46" s="3"/>
      <c r="G46" s="6"/>
    </row>
    <row r="47" spans="1:10" x14ac:dyDescent="0.25">
      <c r="A47" s="35">
        <v>45723</v>
      </c>
      <c r="B47" s="36" t="s">
        <v>23</v>
      </c>
      <c r="C47" s="37" t="s">
        <v>12</v>
      </c>
      <c r="D47" s="37" t="s">
        <v>3</v>
      </c>
      <c r="E47" s="38">
        <v>12.33</v>
      </c>
      <c r="F47" s="3"/>
      <c r="G47" s="6"/>
    </row>
    <row r="48" spans="1:10" x14ac:dyDescent="0.25">
      <c r="A48" s="35">
        <v>45723</v>
      </c>
      <c r="B48" s="36" t="s">
        <v>23</v>
      </c>
      <c r="C48" s="37" t="s">
        <v>7</v>
      </c>
      <c r="D48" s="37" t="s">
        <v>81</v>
      </c>
      <c r="E48" s="38">
        <v>153.6</v>
      </c>
      <c r="F48" s="38">
        <v>141.31</v>
      </c>
      <c r="G48" s="6"/>
    </row>
    <row r="49" spans="1:7" x14ac:dyDescent="0.25">
      <c r="A49" s="35">
        <v>45724</v>
      </c>
      <c r="B49" s="36" t="s">
        <v>23</v>
      </c>
      <c r="C49" s="37" t="s">
        <v>66</v>
      </c>
      <c r="D49" s="37" t="s">
        <v>6</v>
      </c>
      <c r="E49" s="38">
        <v>82.27</v>
      </c>
      <c r="F49" s="3"/>
      <c r="G49" s="6"/>
    </row>
    <row r="50" spans="1:7" x14ac:dyDescent="0.25">
      <c r="A50" s="35">
        <v>45724</v>
      </c>
      <c r="B50" s="36" t="s">
        <v>23</v>
      </c>
      <c r="C50" s="37" t="s">
        <v>45</v>
      </c>
      <c r="D50" s="37" t="s">
        <v>81</v>
      </c>
      <c r="E50" s="38">
        <v>144</v>
      </c>
      <c r="F50" s="3"/>
      <c r="G50" s="6"/>
    </row>
    <row r="51" spans="1:7" x14ac:dyDescent="0.25">
      <c r="A51" s="35">
        <v>45726</v>
      </c>
      <c r="B51" s="36" t="s">
        <v>23</v>
      </c>
      <c r="C51" s="37" t="s">
        <v>38</v>
      </c>
      <c r="D51" s="37" t="s">
        <v>3</v>
      </c>
      <c r="E51" s="38">
        <v>61.15</v>
      </c>
      <c r="F51" s="3"/>
      <c r="G51" s="6"/>
    </row>
    <row r="52" spans="1:7" x14ac:dyDescent="0.25">
      <c r="A52" s="35">
        <v>45726</v>
      </c>
      <c r="B52" s="36" t="s">
        <v>23</v>
      </c>
      <c r="C52" s="37" t="s">
        <v>38</v>
      </c>
      <c r="D52" s="37" t="s">
        <v>3</v>
      </c>
      <c r="E52" s="38">
        <v>30.66</v>
      </c>
      <c r="F52" s="3"/>
      <c r="G52" s="6"/>
    </row>
    <row r="53" spans="1:7" x14ac:dyDescent="0.25">
      <c r="A53" s="35">
        <v>45726</v>
      </c>
      <c r="B53" s="36" t="s">
        <v>23</v>
      </c>
      <c r="C53" s="37" t="s">
        <v>14</v>
      </c>
      <c r="D53" s="37" t="s">
        <v>5</v>
      </c>
      <c r="E53" s="38">
        <v>10</v>
      </c>
      <c r="F53" s="3"/>
      <c r="G53" s="6"/>
    </row>
    <row r="54" spans="1:7" x14ac:dyDescent="0.25">
      <c r="A54" s="35">
        <v>45726</v>
      </c>
      <c r="B54" s="36" t="s">
        <v>23</v>
      </c>
      <c r="C54" s="37" t="s">
        <v>12</v>
      </c>
      <c r="D54" s="37" t="s">
        <v>3</v>
      </c>
      <c r="E54" s="38">
        <v>10.48</v>
      </c>
      <c r="F54" s="3"/>
      <c r="G54" s="6"/>
    </row>
    <row r="55" spans="1:7" x14ac:dyDescent="0.25">
      <c r="A55" s="35">
        <v>45726</v>
      </c>
      <c r="B55" s="36" t="s">
        <v>23</v>
      </c>
      <c r="C55" s="37" t="s">
        <v>45</v>
      </c>
      <c r="D55" s="37" t="s">
        <v>81</v>
      </c>
      <c r="E55" s="38">
        <v>104</v>
      </c>
      <c r="F55" s="3"/>
      <c r="G55" s="6"/>
    </row>
    <row r="56" spans="1:7" x14ac:dyDescent="0.25">
      <c r="A56" s="35">
        <v>45726</v>
      </c>
      <c r="B56" s="36" t="s">
        <v>23</v>
      </c>
      <c r="C56" s="37" t="s">
        <v>14</v>
      </c>
      <c r="D56" s="37" t="s">
        <v>5</v>
      </c>
      <c r="E56" s="38">
        <v>23</v>
      </c>
      <c r="F56" s="3"/>
      <c r="G56" s="6"/>
    </row>
    <row r="57" spans="1:7" x14ac:dyDescent="0.25">
      <c r="A57" s="35">
        <v>45726</v>
      </c>
      <c r="B57" s="36" t="s">
        <v>23</v>
      </c>
      <c r="C57" s="37" t="s">
        <v>47</v>
      </c>
      <c r="D57" s="37" t="s">
        <v>4</v>
      </c>
      <c r="E57" s="40">
        <v>12.99</v>
      </c>
      <c r="F57" s="3"/>
      <c r="G57" s="6"/>
    </row>
    <row r="58" spans="1:7" x14ac:dyDescent="0.25">
      <c r="A58" s="35">
        <v>45726</v>
      </c>
      <c r="B58" s="36" t="s">
        <v>23</v>
      </c>
      <c r="C58" s="37" t="s">
        <v>7</v>
      </c>
      <c r="D58" s="37" t="s">
        <v>81</v>
      </c>
      <c r="E58" s="38">
        <v>14.1</v>
      </c>
      <c r="F58" s="3"/>
      <c r="G58" s="6"/>
    </row>
    <row r="59" spans="1:7" x14ac:dyDescent="0.25">
      <c r="A59" s="35">
        <v>45726</v>
      </c>
      <c r="B59" s="36" t="s">
        <v>23</v>
      </c>
      <c r="C59" s="37" t="s">
        <v>7</v>
      </c>
      <c r="D59" s="37" t="s">
        <v>81</v>
      </c>
      <c r="E59" s="38">
        <v>1.0900000000000001</v>
      </c>
      <c r="F59" s="3"/>
      <c r="G59" s="6"/>
    </row>
    <row r="60" spans="1:7" x14ac:dyDescent="0.25">
      <c r="A60" s="35">
        <v>45727</v>
      </c>
      <c r="B60" s="36" t="s">
        <v>23</v>
      </c>
      <c r="C60" s="37" t="s">
        <v>12</v>
      </c>
      <c r="D60" s="37" t="s">
        <v>15</v>
      </c>
      <c r="E60" s="38">
        <v>35.94</v>
      </c>
      <c r="F60" s="3"/>
      <c r="G60" s="6"/>
    </row>
    <row r="61" spans="1:7" x14ac:dyDescent="0.25">
      <c r="A61" s="35">
        <v>45727</v>
      </c>
      <c r="B61" s="36" t="s">
        <v>23</v>
      </c>
      <c r="C61" s="37" t="s">
        <v>12</v>
      </c>
      <c r="D61" s="37" t="s">
        <v>3</v>
      </c>
      <c r="E61" s="38">
        <v>27.77</v>
      </c>
      <c r="F61" s="3"/>
      <c r="G61" s="6"/>
    </row>
    <row r="62" spans="1:7" x14ac:dyDescent="0.25">
      <c r="A62" s="35">
        <v>45728</v>
      </c>
      <c r="B62" s="36" t="s">
        <v>23</v>
      </c>
      <c r="C62" s="37" t="s">
        <v>12</v>
      </c>
      <c r="D62" s="37" t="s">
        <v>3</v>
      </c>
      <c r="E62" s="38">
        <v>16.34</v>
      </c>
      <c r="F62" s="3"/>
      <c r="G62" s="6"/>
    </row>
    <row r="63" spans="1:7" x14ac:dyDescent="0.25">
      <c r="A63" s="35">
        <v>45730</v>
      </c>
      <c r="B63" s="36" t="s">
        <v>23</v>
      </c>
      <c r="C63" s="37" t="s">
        <v>12</v>
      </c>
      <c r="D63" s="37" t="s">
        <v>3</v>
      </c>
      <c r="E63" s="3"/>
      <c r="F63" s="38">
        <v>45.48</v>
      </c>
      <c r="G63" s="6"/>
    </row>
    <row r="64" spans="1:7" x14ac:dyDescent="0.25">
      <c r="A64" s="35">
        <v>45694</v>
      </c>
      <c r="B64" s="36" t="s">
        <v>16</v>
      </c>
      <c r="C64" s="37" t="s">
        <v>66</v>
      </c>
      <c r="D64" s="37" t="s">
        <v>6</v>
      </c>
      <c r="E64" s="38">
        <v>76.709999999999994</v>
      </c>
      <c r="F64" s="3"/>
      <c r="G64" s="6"/>
    </row>
    <row r="65" spans="1:7" x14ac:dyDescent="0.25">
      <c r="A65" s="35">
        <v>45695</v>
      </c>
      <c r="B65" s="36" t="s">
        <v>16</v>
      </c>
      <c r="C65" s="37" t="s">
        <v>66</v>
      </c>
      <c r="D65" s="37" t="s">
        <v>6</v>
      </c>
      <c r="E65" s="38">
        <v>6.6</v>
      </c>
      <c r="F65" s="3"/>
      <c r="G65" s="6"/>
    </row>
    <row r="66" spans="1:7" x14ac:dyDescent="0.25">
      <c r="A66" s="35">
        <v>45696</v>
      </c>
      <c r="B66" s="36" t="s">
        <v>16</v>
      </c>
      <c r="C66" s="37" t="s">
        <v>66</v>
      </c>
      <c r="D66" s="37" t="s">
        <v>6</v>
      </c>
      <c r="E66" s="38">
        <v>2.37</v>
      </c>
      <c r="F66" s="3"/>
      <c r="G66" s="6"/>
    </row>
    <row r="67" spans="1:7" x14ac:dyDescent="0.25">
      <c r="A67" s="35">
        <v>45696</v>
      </c>
      <c r="B67" s="36" t="s">
        <v>16</v>
      </c>
      <c r="C67" s="37" t="s">
        <v>66</v>
      </c>
      <c r="D67" s="37" t="s">
        <v>6</v>
      </c>
      <c r="E67" s="38">
        <v>38.520000000000003</v>
      </c>
      <c r="F67" s="3"/>
      <c r="G67" s="6"/>
    </row>
    <row r="68" spans="1:7" x14ac:dyDescent="0.25">
      <c r="A68" s="35">
        <v>45697</v>
      </c>
      <c r="B68" s="36" t="s">
        <v>16</v>
      </c>
      <c r="C68" s="37" t="s">
        <v>16</v>
      </c>
      <c r="D68" s="37" t="s">
        <v>15</v>
      </c>
      <c r="E68" s="38">
        <v>27.44</v>
      </c>
      <c r="F68" s="3"/>
      <c r="G68" s="6"/>
    </row>
    <row r="69" spans="1:7" x14ac:dyDescent="0.25">
      <c r="A69" s="35">
        <v>45697</v>
      </c>
      <c r="B69" s="36" t="s">
        <v>16</v>
      </c>
      <c r="C69" s="37" t="s">
        <v>16</v>
      </c>
      <c r="D69" s="37" t="s">
        <v>3</v>
      </c>
      <c r="E69" s="38">
        <v>91.05</v>
      </c>
      <c r="F69" s="3"/>
      <c r="G69" s="6"/>
    </row>
    <row r="70" spans="1:7" x14ac:dyDescent="0.25">
      <c r="A70" s="35">
        <v>45699</v>
      </c>
      <c r="B70" s="36" t="s">
        <v>16</v>
      </c>
      <c r="C70" s="37" t="s">
        <v>66</v>
      </c>
      <c r="D70" s="37" t="s">
        <v>6</v>
      </c>
      <c r="E70" s="38">
        <v>0.54</v>
      </c>
      <c r="F70" s="3"/>
      <c r="G70" s="6"/>
    </row>
    <row r="71" spans="1:7" x14ac:dyDescent="0.25">
      <c r="A71" s="35">
        <v>45699</v>
      </c>
      <c r="B71" s="36" t="s">
        <v>16</v>
      </c>
      <c r="C71" s="37" t="s">
        <v>66</v>
      </c>
      <c r="D71" s="37" t="s">
        <v>6</v>
      </c>
      <c r="E71" s="38">
        <v>8.06</v>
      </c>
      <c r="F71" s="3"/>
      <c r="G71" s="6"/>
    </row>
    <row r="72" spans="1:7" x14ac:dyDescent="0.25">
      <c r="A72" s="35">
        <v>45702</v>
      </c>
      <c r="B72" s="36" t="s">
        <v>16</v>
      </c>
      <c r="C72" s="37" t="s">
        <v>66</v>
      </c>
      <c r="D72" s="37" t="s">
        <v>6</v>
      </c>
      <c r="E72" s="38">
        <v>44.22</v>
      </c>
      <c r="F72" s="3"/>
      <c r="G72" s="6"/>
    </row>
    <row r="73" spans="1:7" x14ac:dyDescent="0.25">
      <c r="A73" s="35">
        <v>45703</v>
      </c>
      <c r="B73" s="36" t="s">
        <v>16</v>
      </c>
      <c r="C73" s="37" t="s">
        <v>66</v>
      </c>
      <c r="D73" s="37" t="s">
        <v>6</v>
      </c>
      <c r="E73" s="38">
        <v>25.58</v>
      </c>
      <c r="F73" s="3"/>
      <c r="G73" s="6"/>
    </row>
    <row r="74" spans="1:7" x14ac:dyDescent="0.25">
      <c r="A74" s="35">
        <v>45705</v>
      </c>
      <c r="B74" s="36" t="s">
        <v>16</v>
      </c>
      <c r="C74" s="37" t="s">
        <v>16</v>
      </c>
      <c r="D74" s="37" t="s">
        <v>15</v>
      </c>
      <c r="E74" s="38">
        <v>26.79</v>
      </c>
      <c r="F74" s="3"/>
      <c r="G74" s="6"/>
    </row>
    <row r="75" spans="1:7" x14ac:dyDescent="0.25">
      <c r="A75" s="35">
        <v>45708</v>
      </c>
      <c r="B75" s="36" t="s">
        <v>16</v>
      </c>
      <c r="C75" s="37" t="s">
        <v>16</v>
      </c>
      <c r="D75" s="37" t="s">
        <v>15</v>
      </c>
      <c r="E75" s="38">
        <v>25.77</v>
      </c>
      <c r="F75" s="3"/>
      <c r="G75" s="6"/>
    </row>
    <row r="76" spans="1:7" x14ac:dyDescent="0.25">
      <c r="A76" s="35">
        <v>45709</v>
      </c>
      <c r="B76" s="36" t="s">
        <v>16</v>
      </c>
      <c r="C76" s="37" t="s">
        <v>16</v>
      </c>
      <c r="D76" s="37" t="s">
        <v>15</v>
      </c>
      <c r="E76" s="38">
        <v>28.3</v>
      </c>
      <c r="F76" s="3"/>
      <c r="G76" s="6"/>
    </row>
    <row r="77" spans="1:7" x14ac:dyDescent="0.25">
      <c r="A77" s="35">
        <v>45711</v>
      </c>
      <c r="B77" s="36" t="s">
        <v>16</v>
      </c>
      <c r="C77" s="37" t="s">
        <v>16</v>
      </c>
      <c r="D77" s="37" t="s">
        <v>15</v>
      </c>
      <c r="E77" s="38">
        <v>15.41</v>
      </c>
      <c r="F77" s="3"/>
      <c r="G77" s="6"/>
    </row>
    <row r="78" spans="1:7" x14ac:dyDescent="0.25">
      <c r="A78" s="35">
        <v>45712</v>
      </c>
      <c r="B78" s="36" t="s">
        <v>16</v>
      </c>
      <c r="C78" s="37" t="s">
        <v>66</v>
      </c>
      <c r="D78" s="37" t="s">
        <v>6</v>
      </c>
      <c r="E78" s="38">
        <v>5.24</v>
      </c>
      <c r="F78" s="3"/>
      <c r="G78" s="6"/>
    </row>
    <row r="79" spans="1:7" x14ac:dyDescent="0.25">
      <c r="A79" s="35">
        <v>45713</v>
      </c>
      <c r="B79" s="36" t="s">
        <v>16</v>
      </c>
      <c r="C79" s="37" t="s">
        <v>16</v>
      </c>
      <c r="D79" s="37" t="s">
        <v>15</v>
      </c>
      <c r="E79" s="38">
        <v>32.58</v>
      </c>
      <c r="F79" s="3"/>
      <c r="G79" s="6"/>
    </row>
    <row r="80" spans="1:7" x14ac:dyDescent="0.25">
      <c r="A80" s="35">
        <v>45714</v>
      </c>
      <c r="B80" s="36" t="s">
        <v>16</v>
      </c>
      <c r="C80" s="37" t="s">
        <v>14</v>
      </c>
      <c r="D80" s="37" t="s">
        <v>5</v>
      </c>
      <c r="E80" s="38">
        <v>3.97</v>
      </c>
      <c r="F80" s="3"/>
      <c r="G80" s="6"/>
    </row>
    <row r="81" spans="1:7" x14ac:dyDescent="0.25">
      <c r="A81" s="35">
        <v>45715</v>
      </c>
      <c r="B81" s="36" t="s">
        <v>16</v>
      </c>
      <c r="C81" s="37" t="s">
        <v>16</v>
      </c>
      <c r="D81" s="37" t="s">
        <v>15</v>
      </c>
      <c r="E81" s="38">
        <v>24.28</v>
      </c>
      <c r="F81" s="3"/>
      <c r="G81" s="6"/>
    </row>
    <row r="82" spans="1:7" x14ac:dyDescent="0.25">
      <c r="A82" s="35">
        <v>45716</v>
      </c>
      <c r="B82" s="36" t="s">
        <v>16</v>
      </c>
      <c r="C82" s="37" t="s">
        <v>16</v>
      </c>
      <c r="D82" s="37" t="s">
        <v>15</v>
      </c>
      <c r="E82" s="38">
        <v>24.79</v>
      </c>
      <c r="F82" s="3"/>
      <c r="G82" s="6"/>
    </row>
    <row r="83" spans="1:7" x14ac:dyDescent="0.25">
      <c r="A83" s="35">
        <v>45716</v>
      </c>
      <c r="B83" s="36" t="s">
        <v>16</v>
      </c>
      <c r="C83" s="37" t="s">
        <v>66</v>
      </c>
      <c r="D83" s="37" t="s">
        <v>6</v>
      </c>
      <c r="E83" s="38">
        <v>238.94</v>
      </c>
      <c r="F83" s="3"/>
      <c r="G83" s="6"/>
    </row>
    <row r="84" spans="1:7" x14ac:dyDescent="0.25">
      <c r="A84" s="35">
        <v>45716</v>
      </c>
      <c r="B84" s="36" t="s">
        <v>16</v>
      </c>
      <c r="C84" s="37" t="s">
        <v>66</v>
      </c>
      <c r="D84" s="37" t="s">
        <v>6</v>
      </c>
      <c r="E84" s="38">
        <v>31.03</v>
      </c>
      <c r="F84" s="3"/>
      <c r="G84" s="6"/>
    </row>
    <row r="85" spans="1:7" x14ac:dyDescent="0.25">
      <c r="A85" s="35">
        <v>45717</v>
      </c>
      <c r="B85" s="36" t="s">
        <v>16</v>
      </c>
      <c r="C85" s="37" t="s">
        <v>66</v>
      </c>
      <c r="D85" s="37" t="s">
        <v>6</v>
      </c>
      <c r="E85" s="38">
        <v>10.72</v>
      </c>
      <c r="F85" s="3"/>
      <c r="G85" s="6"/>
    </row>
    <row r="86" spans="1:7" x14ac:dyDescent="0.25">
      <c r="A86" s="35">
        <v>45717</v>
      </c>
      <c r="B86" s="36" t="s">
        <v>16</v>
      </c>
      <c r="C86" s="37" t="s">
        <v>66</v>
      </c>
      <c r="D86" s="37" t="s">
        <v>6</v>
      </c>
      <c r="E86" s="38">
        <v>90.73</v>
      </c>
      <c r="F86" s="3"/>
      <c r="G86" s="6"/>
    </row>
    <row r="87" spans="1:7" x14ac:dyDescent="0.25">
      <c r="A87" s="35">
        <v>45717</v>
      </c>
      <c r="B87" s="36" t="s">
        <v>16</v>
      </c>
      <c r="C87" s="37" t="s">
        <v>66</v>
      </c>
      <c r="D87" s="37" t="s">
        <v>6</v>
      </c>
      <c r="E87" s="38">
        <v>28.69</v>
      </c>
      <c r="F87" s="3"/>
      <c r="G87" s="6"/>
    </row>
    <row r="88" spans="1:7" x14ac:dyDescent="0.25">
      <c r="A88" s="35">
        <v>45717</v>
      </c>
      <c r="B88" s="36" t="s">
        <v>16</v>
      </c>
      <c r="C88" s="37" t="s">
        <v>66</v>
      </c>
      <c r="D88" s="37" t="s">
        <v>6</v>
      </c>
      <c r="E88" s="38">
        <v>30.58</v>
      </c>
      <c r="F88" s="3"/>
      <c r="G88" s="6"/>
    </row>
    <row r="89" spans="1:7" x14ac:dyDescent="0.25">
      <c r="A89" s="35">
        <v>45717</v>
      </c>
      <c r="B89" s="36" t="s">
        <v>16</v>
      </c>
      <c r="C89" s="37" t="s">
        <v>66</v>
      </c>
      <c r="D89" s="37" t="s">
        <v>6</v>
      </c>
      <c r="E89" s="38">
        <v>46.17</v>
      </c>
      <c r="F89" s="3"/>
      <c r="G89" s="6"/>
    </row>
    <row r="90" spans="1:7" x14ac:dyDescent="0.25">
      <c r="A90" s="35">
        <v>45717</v>
      </c>
      <c r="B90" s="36" t="s">
        <v>16</v>
      </c>
      <c r="C90" s="37" t="s">
        <v>66</v>
      </c>
      <c r="D90" s="37" t="s">
        <v>6</v>
      </c>
      <c r="E90" s="38">
        <v>35.909999999999997</v>
      </c>
      <c r="F90" s="3"/>
      <c r="G90" s="6"/>
    </row>
    <row r="91" spans="1:7" x14ac:dyDescent="0.25">
      <c r="A91" s="35">
        <v>45717</v>
      </c>
      <c r="B91" s="36" t="s">
        <v>16</v>
      </c>
      <c r="C91" s="37" t="s">
        <v>66</v>
      </c>
      <c r="D91" s="37" t="s">
        <v>6</v>
      </c>
      <c r="E91" s="38">
        <v>137.19999999999999</v>
      </c>
      <c r="F91" s="3"/>
      <c r="G91" s="6"/>
    </row>
    <row r="92" spans="1:7" x14ac:dyDescent="0.25">
      <c r="A92" s="35">
        <v>45717</v>
      </c>
      <c r="B92" s="36" t="s">
        <v>16</v>
      </c>
      <c r="C92" s="37" t="s">
        <v>66</v>
      </c>
      <c r="D92" s="37" t="s">
        <v>6</v>
      </c>
      <c r="E92" s="38">
        <v>10.06</v>
      </c>
      <c r="F92" s="3"/>
      <c r="G92" s="6"/>
    </row>
    <row r="93" spans="1:7" x14ac:dyDescent="0.25">
      <c r="A93" s="35">
        <v>45717</v>
      </c>
      <c r="B93" s="36" t="s">
        <v>16</v>
      </c>
      <c r="C93" s="37" t="s">
        <v>66</v>
      </c>
      <c r="D93" s="37" t="s">
        <v>6</v>
      </c>
      <c r="E93" s="38">
        <v>34.130000000000003</v>
      </c>
      <c r="F93" s="3"/>
      <c r="G93" s="6"/>
    </row>
    <row r="94" spans="1:7" x14ac:dyDescent="0.25">
      <c r="A94" s="35">
        <v>45717</v>
      </c>
      <c r="B94" s="36" t="s">
        <v>16</v>
      </c>
      <c r="C94" s="37" t="s">
        <v>66</v>
      </c>
      <c r="D94" s="37" t="s">
        <v>6</v>
      </c>
      <c r="E94" s="38">
        <v>3.24</v>
      </c>
      <c r="F94" s="3"/>
      <c r="G94" s="6"/>
    </row>
    <row r="95" spans="1:7" x14ac:dyDescent="0.25">
      <c r="A95" s="35">
        <v>45718</v>
      </c>
      <c r="B95" s="36" t="s">
        <v>16</v>
      </c>
      <c r="C95" s="37" t="s">
        <v>16</v>
      </c>
      <c r="D95" s="37" t="s">
        <v>15</v>
      </c>
      <c r="E95" s="38">
        <v>16.91</v>
      </c>
      <c r="F95" s="3"/>
      <c r="G95" s="6"/>
    </row>
    <row r="96" spans="1:7" x14ac:dyDescent="0.25">
      <c r="A96" s="35">
        <v>45719</v>
      </c>
      <c r="B96" s="36" t="s">
        <v>16</v>
      </c>
      <c r="C96" s="37" t="s">
        <v>16</v>
      </c>
      <c r="D96" s="37" t="s">
        <v>15</v>
      </c>
      <c r="E96" s="38">
        <v>20.29</v>
      </c>
      <c r="F96" s="3"/>
      <c r="G96" s="6"/>
    </row>
    <row r="97" spans="1:7" x14ac:dyDescent="0.25">
      <c r="A97" s="35">
        <v>45721</v>
      </c>
      <c r="B97" s="36" t="s">
        <v>16</v>
      </c>
      <c r="C97" s="37" t="s">
        <v>66</v>
      </c>
      <c r="D97" s="37" t="s">
        <v>6</v>
      </c>
      <c r="E97" s="38">
        <v>3.97</v>
      </c>
      <c r="F97" s="3"/>
      <c r="G97" s="6"/>
    </row>
    <row r="98" spans="1:7" x14ac:dyDescent="0.25">
      <c r="A98" s="35">
        <v>45723</v>
      </c>
      <c r="B98" s="36" t="s">
        <v>16</v>
      </c>
      <c r="C98" s="37" t="s">
        <v>66</v>
      </c>
      <c r="D98" s="37" t="s">
        <v>6</v>
      </c>
      <c r="E98" s="38">
        <v>4.32</v>
      </c>
      <c r="F98" s="3"/>
      <c r="G98" s="6"/>
    </row>
    <row r="99" spans="1:7" x14ac:dyDescent="0.25">
      <c r="A99" s="35">
        <v>45723</v>
      </c>
      <c r="B99" s="36" t="s">
        <v>16</v>
      </c>
      <c r="C99" s="37" t="s">
        <v>66</v>
      </c>
      <c r="D99" s="37" t="s">
        <v>6</v>
      </c>
      <c r="E99" s="38">
        <v>2.62</v>
      </c>
      <c r="F99" s="3"/>
      <c r="G99" s="6"/>
    </row>
    <row r="100" spans="1:7" x14ac:dyDescent="0.25">
      <c r="A100" s="35">
        <v>45723</v>
      </c>
      <c r="B100" s="36" t="s">
        <v>16</v>
      </c>
      <c r="C100" s="37" t="s">
        <v>16</v>
      </c>
      <c r="D100" s="37" t="s">
        <v>15</v>
      </c>
      <c r="E100" s="38">
        <v>29.21</v>
      </c>
      <c r="F100" s="3"/>
      <c r="G100" s="6"/>
    </row>
    <row r="101" spans="1:7" x14ac:dyDescent="0.25">
      <c r="A101" s="35">
        <v>45723</v>
      </c>
      <c r="B101" s="36" t="s">
        <v>16</v>
      </c>
      <c r="C101" s="37" t="s">
        <v>66</v>
      </c>
      <c r="D101" s="37" t="s">
        <v>6</v>
      </c>
      <c r="E101" s="38">
        <v>10.55</v>
      </c>
      <c r="F101" s="3"/>
      <c r="G101" s="6"/>
    </row>
    <row r="102" spans="1:7" x14ac:dyDescent="0.25">
      <c r="A102" s="35">
        <v>45723</v>
      </c>
      <c r="B102" s="36" t="s">
        <v>16</v>
      </c>
      <c r="C102" s="37" t="s">
        <v>66</v>
      </c>
      <c r="D102" s="37" t="s">
        <v>6</v>
      </c>
      <c r="E102" s="38">
        <v>56.59</v>
      </c>
      <c r="F102" s="3"/>
      <c r="G102" s="6"/>
    </row>
    <row r="103" spans="1:7" x14ac:dyDescent="0.25">
      <c r="A103" s="8"/>
      <c r="B103" s="4"/>
      <c r="C103" s="5"/>
      <c r="D103" s="5"/>
      <c r="E103" s="3"/>
      <c r="F103" s="3"/>
      <c r="G103" s="6"/>
    </row>
    <row r="104" spans="1:7" x14ac:dyDescent="0.25">
      <c r="A104" s="8"/>
      <c r="B104" s="4"/>
      <c r="C104" s="5"/>
      <c r="D104" s="5"/>
      <c r="E104" s="3"/>
      <c r="F104" s="3"/>
      <c r="G104" s="6"/>
    </row>
    <row r="105" spans="1:7" x14ac:dyDescent="0.25">
      <c r="A105" s="42" t="s">
        <v>21</v>
      </c>
      <c r="B105" s="43"/>
      <c r="C105" s="2"/>
      <c r="D105" s="2"/>
      <c r="E105" s="38">
        <f>SUM(E2:E101)</f>
        <v>3292.2499999999986</v>
      </c>
      <c r="F105" s="38">
        <f>SUM(F2:F90)</f>
        <v>500.49</v>
      </c>
      <c r="G105" s="44">
        <f>SUM(G5:G90)</f>
        <v>0</v>
      </c>
    </row>
    <row r="106" spans="1:7" x14ac:dyDescent="0.25">
      <c r="A106" s="45" t="s">
        <v>17</v>
      </c>
      <c r="B106" s="46"/>
      <c r="C106" s="51">
        <f>SUMIF(B2:B104,"Capitol One",F2:F104)</f>
        <v>500.49</v>
      </c>
      <c r="D106" s="2"/>
      <c r="E106" s="2"/>
      <c r="F106" s="2"/>
      <c r="G106" s="9"/>
    </row>
    <row r="107" spans="1:7" x14ac:dyDescent="0.25">
      <c r="A107" s="42" t="s">
        <v>18</v>
      </c>
      <c r="B107" s="43"/>
      <c r="C107" s="38">
        <f>SUMIF(B2:B104,"Sam's Club",F2:F104)</f>
        <v>0</v>
      </c>
      <c r="D107" s="2"/>
      <c r="E107" s="2"/>
      <c r="F107" s="2"/>
      <c r="G107" s="9"/>
    </row>
    <row r="108" spans="1:7" x14ac:dyDescent="0.25">
      <c r="A108" s="42" t="s">
        <v>90</v>
      </c>
      <c r="B108" s="43"/>
      <c r="C108" s="51">
        <f>SUMIF(B2:B90,"Discover",F2:F90)</f>
        <v>0</v>
      </c>
      <c r="D108" s="17"/>
      <c r="E108" s="17"/>
      <c r="F108" s="17"/>
      <c r="G108" s="13"/>
    </row>
    <row r="109" spans="1:7" x14ac:dyDescent="0.25">
      <c r="A109" s="42" t="s">
        <v>91</v>
      </c>
      <c r="B109" s="43"/>
      <c r="C109" s="38">
        <f>SUMIF($B2:B90,"Discover",$E2:E90)+SUMIF($B2:B90,"Discover",$G2:G90)-C108</f>
        <v>0</v>
      </c>
      <c r="D109" s="2"/>
      <c r="E109" s="2"/>
      <c r="F109" s="2"/>
      <c r="G109" s="9"/>
    </row>
    <row r="110" spans="1:7" x14ac:dyDescent="0.25">
      <c r="A110" s="45" t="s">
        <v>19</v>
      </c>
      <c r="B110" s="46"/>
      <c r="C110" s="38">
        <f>SUMIF($B3:B104,"Capitol One",$E2:E104)+SUMIF($B2:B104,"Capitol One",$G2:G104)-C106</f>
        <v>1498.2699999999998</v>
      </c>
      <c r="D110" s="2"/>
      <c r="E110" s="2"/>
      <c r="F110" s="2"/>
      <c r="G110" s="9"/>
    </row>
    <row r="111" spans="1:7" ht="15.75" thickBot="1" x14ac:dyDescent="0.3">
      <c r="A111" s="47" t="s">
        <v>20</v>
      </c>
      <c r="B111" s="48"/>
      <c r="C111" s="49">
        <f>SUMIF($B2:B104,"Sam's Club",$E2:E104)+SUMIF($B2:B90,"Sam's Club",$G2:G104)-C107</f>
        <v>1350.08</v>
      </c>
      <c r="D111" s="10"/>
      <c r="E111" s="10"/>
      <c r="F111" s="10"/>
      <c r="G111" s="11"/>
    </row>
  </sheetData>
  <autoFilter ref="A1:G1" xr:uid="{55C6C991-3FFE-4866-967D-4139DF94C020}">
    <sortState xmlns:xlrd2="http://schemas.microsoft.com/office/spreadsheetml/2017/richdata2" ref="A2:G102">
      <sortCondition ref="B1"/>
    </sortState>
  </autoFilter>
  <dataConsolidate/>
  <mergeCells count="7">
    <mergeCell ref="A111:B111"/>
    <mergeCell ref="A105:B105"/>
    <mergeCell ref="A106:B106"/>
    <mergeCell ref="A107:B107"/>
    <mergeCell ref="A108:B108"/>
    <mergeCell ref="A109:B109"/>
    <mergeCell ref="A110:B110"/>
  </mergeCells>
  <dataValidations count="13">
    <dataValidation type="date" allowBlank="1" showInputMessage="1" showErrorMessage="1" sqref="A27" xr:uid="{D7FDAEA0-AC7F-42E4-9184-B403AF9EAC2A}">
      <formula1>A27</formula1>
      <formula2>A129</formula2>
    </dataValidation>
    <dataValidation type="date" allowBlank="1" showInputMessage="1" showErrorMessage="1" sqref="A33:A41" xr:uid="{5110D995-7459-4B08-A992-9ECFAB3810FE}">
      <formula1>A33</formula1>
      <formula2>A134</formula2>
    </dataValidation>
    <dataValidation type="date" allowBlank="1" showInputMessage="1" showErrorMessage="1" sqref="A28 A15:A24" xr:uid="{164C9538-8A95-4F0E-8D9B-067BCD433AFF}">
      <formula1>A15</formula1>
      <formula2>A122</formula2>
    </dataValidation>
    <dataValidation type="date" allowBlank="1" showInputMessage="1" showErrorMessage="1" sqref="A25:A26 A29:A32" xr:uid="{1FDCDA78-9C86-401B-92DC-0AAFFF5E7D4F}">
      <formula1>A25</formula1>
      <formula2>A133</formula2>
    </dataValidation>
    <dataValidation type="date" allowBlank="1" showInputMessage="1" showErrorMessage="1" sqref="A64 A75:A92" xr:uid="{4FD66E55-FAE5-40EE-800F-DE60333B03AD}">
      <formula1>A64</formula1>
      <formula2>A121</formula2>
    </dataValidation>
    <dataValidation type="date" allowBlank="1" showInputMessage="1" showErrorMessage="1" sqref="A93:A104" xr:uid="{4430C725-9760-49C6-8A18-7EE4ED7E880C}">
      <formula1>A93</formula1>
      <formula2>A137</formula2>
    </dataValidation>
    <dataValidation type="date" allowBlank="1" showInputMessage="1" showErrorMessage="1" sqref="A42:A57" xr:uid="{C8A96BBC-0927-43FA-AA4B-CAD8D9F22910}">
      <formula1>A42</formula1>
      <formula2>A135</formula2>
    </dataValidation>
    <dataValidation type="date" allowBlank="1" showInputMessage="1" showErrorMessage="1" sqref="A73:A74 A58:A63" xr:uid="{426A4A41-C743-4624-A73D-34238496A0B4}">
      <formula1>A58</formula1>
      <formula2>A136</formula2>
    </dataValidation>
    <dataValidation type="list" allowBlank="1" showInputMessage="1" showErrorMessage="1" sqref="B2:B104" xr:uid="{AACF1865-CFB1-423A-BC6A-C68AB60638C3}">
      <formula1>CCUsed</formula1>
    </dataValidation>
    <dataValidation type="list" allowBlank="1" showInputMessage="1" showErrorMessage="1" sqref="D2:D104" xr:uid="{D00A2F96-8F5E-48D5-84D0-F7C713BA2766}">
      <formula1>ItemsDescription</formula1>
    </dataValidation>
    <dataValidation type="list" allowBlank="1" showInputMessage="1" showErrorMessage="1" sqref="C2:C104" xr:uid="{B17DE795-1012-487D-8CB9-750E1CDFC70E}">
      <formula1>StoresDescription</formula1>
    </dataValidation>
    <dataValidation type="date" allowBlank="1" showInputMessage="1" showErrorMessage="1" sqref="A2:A14" xr:uid="{C2AF3143-6141-4D82-81BE-8DAA5BDC64AC}">
      <formula1>A2</formula1>
      <formula2>A108</formula2>
    </dataValidation>
    <dataValidation type="date" allowBlank="1" showInputMessage="1" showErrorMessage="1" sqref="A65:A72" xr:uid="{F9FE7BBC-1752-4F72-9FE6-39AAB37282C7}">
      <formula1>A65</formula1>
      <formula2>A118</formula2>
    </dataValidation>
  </dataValidations>
  <pageMargins left="0.25" right="0.25" top="0.75" bottom="0.75" header="0.3" footer="0.3"/>
  <pageSetup paperSize="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886E-12E5-423E-94C5-437AC9CD3332}">
  <sheetPr codeName="Sheet4"/>
  <dimension ref="A1:J108"/>
  <sheetViews>
    <sheetView zoomScaleNormal="100" zoomScaleSheetLayoutView="62" workbookViewId="0">
      <pane ySplit="1" topLeftCell="A20" activePane="bottomLeft" state="frozen"/>
      <selection activeCell="C4" sqref="C4"/>
      <selection pane="bottomLeft" activeCell="E47" sqref="E47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9.85546875" bestFit="1" customWidth="1"/>
    <col min="4" max="4" width="20.140625" bestFit="1" customWidth="1"/>
    <col min="5" max="5" width="10.5703125" bestFit="1" customWidth="1"/>
    <col min="6" max="6" width="9.85546875" bestFit="1" customWidth="1"/>
    <col min="7" max="7" width="8.7109375" bestFit="1" customWidth="1"/>
    <col min="8" max="8" width="8.5703125" customWidth="1"/>
    <col min="9" max="9" width="20.28515625" bestFit="1" customWidth="1"/>
    <col min="10" max="10" width="9.7109375" bestFit="1" customWidth="1"/>
  </cols>
  <sheetData>
    <row r="1" spans="1:10" x14ac:dyDescent="0.25">
      <c r="A1" s="31" t="s">
        <v>0</v>
      </c>
      <c r="B1" s="32" t="s">
        <v>24</v>
      </c>
      <c r="C1" s="33" t="s">
        <v>1</v>
      </c>
      <c r="D1" s="33" t="s">
        <v>2</v>
      </c>
      <c r="E1" s="33" t="s">
        <v>25</v>
      </c>
      <c r="F1" s="33" t="s">
        <v>26</v>
      </c>
      <c r="G1" s="34" t="s">
        <v>30</v>
      </c>
    </row>
    <row r="2" spans="1:10" x14ac:dyDescent="0.25">
      <c r="A2" s="35">
        <v>45731</v>
      </c>
      <c r="B2" s="36" t="s">
        <v>23</v>
      </c>
      <c r="C2" s="37" t="s">
        <v>12</v>
      </c>
      <c r="D2" s="37" t="s">
        <v>3</v>
      </c>
      <c r="E2" s="38">
        <v>20.09</v>
      </c>
      <c r="F2" s="3"/>
      <c r="G2" s="14"/>
    </row>
    <row r="3" spans="1:10" x14ac:dyDescent="0.25">
      <c r="A3" s="35">
        <v>45731</v>
      </c>
      <c r="B3" s="36" t="s">
        <v>23</v>
      </c>
      <c r="C3" s="37" t="s">
        <v>47</v>
      </c>
      <c r="D3" s="37" t="s">
        <v>4</v>
      </c>
      <c r="E3" s="40">
        <v>152.16</v>
      </c>
      <c r="F3" s="3"/>
      <c r="G3" s="6"/>
    </row>
    <row r="4" spans="1:10" x14ac:dyDescent="0.25">
      <c r="A4" s="35">
        <v>45733</v>
      </c>
      <c r="B4" s="36" t="s">
        <v>23</v>
      </c>
      <c r="C4" s="37" t="s">
        <v>31</v>
      </c>
      <c r="D4" s="37" t="s">
        <v>3</v>
      </c>
      <c r="E4" s="38">
        <v>18.850000000000001</v>
      </c>
      <c r="F4" s="3"/>
      <c r="G4" s="6"/>
    </row>
    <row r="5" spans="1:10" x14ac:dyDescent="0.25">
      <c r="A5" s="35">
        <v>45733</v>
      </c>
      <c r="B5" s="36" t="s">
        <v>23</v>
      </c>
      <c r="C5" s="37" t="s">
        <v>31</v>
      </c>
      <c r="D5" s="37" t="s">
        <v>30</v>
      </c>
      <c r="E5" s="3"/>
      <c r="F5" s="3"/>
      <c r="G5" s="44">
        <v>23.6</v>
      </c>
      <c r="I5" s="39" t="s">
        <v>81</v>
      </c>
      <c r="J5" s="38">
        <f t="shared" ref="J5:J11" si="0">SUMIF($D$2:$D$101,I5,$E$2:$E$101)-SUMIF($D$2:$D$101,I5,$F$2:$F$101)</f>
        <v>344.59</v>
      </c>
    </row>
    <row r="6" spans="1:10" x14ac:dyDescent="0.25">
      <c r="A6" s="35">
        <v>45733</v>
      </c>
      <c r="B6" s="36" t="s">
        <v>23</v>
      </c>
      <c r="C6" s="37" t="s">
        <v>43</v>
      </c>
      <c r="D6" s="37" t="s">
        <v>3</v>
      </c>
      <c r="E6" s="38">
        <v>2.19</v>
      </c>
      <c r="F6" s="3"/>
      <c r="G6" s="6"/>
      <c r="I6" s="39" t="s">
        <v>5</v>
      </c>
      <c r="J6" s="38">
        <f t="shared" si="0"/>
        <v>59.99</v>
      </c>
    </row>
    <row r="7" spans="1:10" x14ac:dyDescent="0.25">
      <c r="A7" s="35">
        <v>45733</v>
      </c>
      <c r="B7" s="36" t="s">
        <v>23</v>
      </c>
      <c r="C7" s="37" t="s">
        <v>7</v>
      </c>
      <c r="D7" s="37" t="s">
        <v>81</v>
      </c>
      <c r="E7" s="38">
        <v>9.93</v>
      </c>
      <c r="F7" s="3"/>
      <c r="G7" s="6"/>
      <c r="I7" s="39" t="s">
        <v>6</v>
      </c>
      <c r="J7" s="38">
        <f t="shared" si="0"/>
        <v>33.130000000000003</v>
      </c>
    </row>
    <row r="8" spans="1:10" x14ac:dyDescent="0.25">
      <c r="A8" s="35">
        <v>45733</v>
      </c>
      <c r="B8" s="36" t="s">
        <v>23</v>
      </c>
      <c r="C8" s="37" t="s">
        <v>7</v>
      </c>
      <c r="D8" s="37" t="s">
        <v>81</v>
      </c>
      <c r="E8" s="38">
        <v>76.25</v>
      </c>
      <c r="F8" s="38">
        <f>12.29+1.09</f>
        <v>13.379999999999999</v>
      </c>
      <c r="G8" s="6"/>
      <c r="I8" s="39" t="s">
        <v>15</v>
      </c>
      <c r="J8" s="38">
        <f t="shared" si="0"/>
        <v>134.69999999999999</v>
      </c>
    </row>
    <row r="9" spans="1:10" x14ac:dyDescent="0.25">
      <c r="A9" s="35">
        <v>45733</v>
      </c>
      <c r="B9" s="36" t="s">
        <v>23</v>
      </c>
      <c r="C9" s="37" t="s">
        <v>47</v>
      </c>
      <c r="D9" s="37" t="s">
        <v>4</v>
      </c>
      <c r="E9" s="40">
        <v>169.07</v>
      </c>
      <c r="F9" s="3"/>
      <c r="G9" s="6"/>
      <c r="I9" s="39" t="s">
        <v>3</v>
      </c>
      <c r="J9" s="38">
        <f t="shared" si="0"/>
        <v>285.83000000000004</v>
      </c>
    </row>
    <row r="10" spans="1:10" x14ac:dyDescent="0.25">
      <c r="A10" s="35">
        <v>45735</v>
      </c>
      <c r="B10" s="36" t="s">
        <v>23</v>
      </c>
      <c r="C10" s="37" t="s">
        <v>12</v>
      </c>
      <c r="D10" s="37" t="s">
        <v>3</v>
      </c>
      <c r="E10" s="38">
        <v>9.24</v>
      </c>
      <c r="F10" s="3"/>
      <c r="G10" s="6"/>
      <c r="I10" s="39" t="s">
        <v>4</v>
      </c>
      <c r="J10" s="38">
        <f t="shared" si="0"/>
        <v>879.35</v>
      </c>
    </row>
    <row r="11" spans="1:10" x14ac:dyDescent="0.25">
      <c r="A11" s="35">
        <v>45735</v>
      </c>
      <c r="B11" s="36" t="s">
        <v>23</v>
      </c>
      <c r="C11" s="37" t="s">
        <v>62</v>
      </c>
      <c r="D11" s="37" t="s">
        <v>84</v>
      </c>
      <c r="E11" s="38">
        <v>30.94</v>
      </c>
      <c r="F11" s="3"/>
      <c r="G11" s="6"/>
      <c r="I11" s="39" t="s">
        <v>84</v>
      </c>
      <c r="J11" s="38">
        <f t="shared" si="0"/>
        <v>30.94</v>
      </c>
    </row>
    <row r="12" spans="1:10" x14ac:dyDescent="0.25">
      <c r="A12" s="35">
        <v>45736</v>
      </c>
      <c r="B12" s="36" t="s">
        <v>23</v>
      </c>
      <c r="C12" s="37" t="s">
        <v>12</v>
      </c>
      <c r="D12" s="37" t="s">
        <v>3</v>
      </c>
      <c r="E12" s="38">
        <v>17.72</v>
      </c>
      <c r="F12" s="3"/>
      <c r="G12" s="6"/>
      <c r="I12" s="39" t="s">
        <v>30</v>
      </c>
      <c r="J12" s="38">
        <f>SUMIF($D$2:$D$101,I12,$G$2:$G$101)-SUMIF($D$2:$D$101,I12,$F$2:$F$101)</f>
        <v>23.6</v>
      </c>
    </row>
    <row r="13" spans="1:10" x14ac:dyDescent="0.25">
      <c r="A13" s="35">
        <v>45738</v>
      </c>
      <c r="B13" s="36" t="s">
        <v>23</v>
      </c>
      <c r="C13" s="37" t="s">
        <v>12</v>
      </c>
      <c r="D13" s="37" t="s">
        <v>3</v>
      </c>
      <c r="E13" s="38">
        <v>21.1</v>
      </c>
      <c r="F13" s="3"/>
      <c r="G13" s="6"/>
    </row>
    <row r="14" spans="1:10" x14ac:dyDescent="0.25">
      <c r="A14" s="35">
        <v>45738</v>
      </c>
      <c r="B14" s="36" t="s">
        <v>23</v>
      </c>
      <c r="C14" s="37" t="s">
        <v>12</v>
      </c>
      <c r="D14" s="37" t="s">
        <v>3</v>
      </c>
      <c r="E14" s="38">
        <v>38.630000000000003</v>
      </c>
      <c r="F14" s="38">
        <v>8.92</v>
      </c>
      <c r="G14" s="6"/>
    </row>
    <row r="15" spans="1:10" x14ac:dyDescent="0.25">
      <c r="A15" s="35">
        <v>45738</v>
      </c>
      <c r="B15" s="36" t="s">
        <v>23</v>
      </c>
      <c r="C15" s="37" t="s">
        <v>12</v>
      </c>
      <c r="D15" s="37" t="s">
        <v>3</v>
      </c>
      <c r="E15" s="38">
        <v>2.99</v>
      </c>
      <c r="F15" s="3"/>
      <c r="G15" s="6"/>
    </row>
    <row r="16" spans="1:10" x14ac:dyDescent="0.25">
      <c r="A16" s="35">
        <v>45738</v>
      </c>
      <c r="B16" s="36" t="s">
        <v>23</v>
      </c>
      <c r="C16" s="37" t="s">
        <v>12</v>
      </c>
      <c r="D16" s="37" t="s">
        <v>3</v>
      </c>
      <c r="E16" s="38">
        <v>3.35</v>
      </c>
      <c r="F16" s="3"/>
      <c r="G16" s="6"/>
    </row>
    <row r="17" spans="1:7" x14ac:dyDescent="0.25">
      <c r="A17" s="35">
        <v>45738</v>
      </c>
      <c r="B17" s="36" t="s">
        <v>23</v>
      </c>
      <c r="C17" s="37" t="s">
        <v>47</v>
      </c>
      <c r="D17" s="37" t="s">
        <v>4</v>
      </c>
      <c r="E17" s="40">
        <v>105.99</v>
      </c>
      <c r="F17" s="3"/>
      <c r="G17" s="6"/>
    </row>
    <row r="18" spans="1:7" x14ac:dyDescent="0.25">
      <c r="A18" s="35">
        <v>45738</v>
      </c>
      <c r="B18" s="36" t="s">
        <v>23</v>
      </c>
      <c r="C18" s="37" t="s">
        <v>14</v>
      </c>
      <c r="D18" s="37" t="s">
        <v>5</v>
      </c>
      <c r="E18" s="38">
        <v>32.99</v>
      </c>
      <c r="F18" s="3"/>
      <c r="G18" s="6"/>
    </row>
    <row r="19" spans="1:7" x14ac:dyDescent="0.25">
      <c r="A19" s="35">
        <v>45740</v>
      </c>
      <c r="B19" s="36" t="s">
        <v>23</v>
      </c>
      <c r="C19" s="37" t="s">
        <v>12</v>
      </c>
      <c r="D19" s="37" t="s">
        <v>3</v>
      </c>
      <c r="E19" s="38">
        <v>9.02</v>
      </c>
      <c r="F19" s="3"/>
      <c r="G19" s="6"/>
    </row>
    <row r="20" spans="1:7" x14ac:dyDescent="0.25">
      <c r="A20" s="35">
        <v>45740</v>
      </c>
      <c r="B20" s="36" t="s">
        <v>23</v>
      </c>
      <c r="C20" s="37" t="s">
        <v>14</v>
      </c>
      <c r="D20" s="37" t="s">
        <v>5</v>
      </c>
      <c r="E20" s="38">
        <v>27</v>
      </c>
      <c r="F20" s="3"/>
      <c r="G20" s="6"/>
    </row>
    <row r="21" spans="1:7" x14ac:dyDescent="0.25">
      <c r="A21" s="35">
        <v>45740</v>
      </c>
      <c r="B21" s="36" t="s">
        <v>23</v>
      </c>
      <c r="C21" s="37" t="s">
        <v>47</v>
      </c>
      <c r="D21" s="37" t="s">
        <v>4</v>
      </c>
      <c r="E21" s="40">
        <v>452.13</v>
      </c>
      <c r="F21" s="3"/>
      <c r="G21" s="6"/>
    </row>
    <row r="22" spans="1:7" x14ac:dyDescent="0.25">
      <c r="A22" s="35">
        <v>45741</v>
      </c>
      <c r="B22" s="36" t="s">
        <v>23</v>
      </c>
      <c r="C22" s="37" t="s">
        <v>12</v>
      </c>
      <c r="D22" s="37" t="s">
        <v>3</v>
      </c>
      <c r="E22" s="38">
        <v>7.36</v>
      </c>
      <c r="F22" s="3"/>
      <c r="G22" s="6"/>
    </row>
    <row r="23" spans="1:7" x14ac:dyDescent="0.25">
      <c r="A23" s="35">
        <v>45741</v>
      </c>
      <c r="B23" s="36" t="s">
        <v>23</v>
      </c>
      <c r="C23" s="37" t="s">
        <v>12</v>
      </c>
      <c r="D23" s="37" t="s">
        <v>3</v>
      </c>
      <c r="E23" s="38">
        <v>11.3</v>
      </c>
      <c r="F23" s="3"/>
      <c r="G23" s="6"/>
    </row>
    <row r="24" spans="1:7" x14ac:dyDescent="0.25">
      <c r="A24" s="35">
        <v>45741</v>
      </c>
      <c r="B24" s="36" t="s">
        <v>23</v>
      </c>
      <c r="C24" s="37" t="s">
        <v>7</v>
      </c>
      <c r="D24" s="37" t="s">
        <v>81</v>
      </c>
      <c r="E24" s="38">
        <v>62.63</v>
      </c>
      <c r="F24" s="3"/>
      <c r="G24" s="6"/>
    </row>
    <row r="25" spans="1:7" x14ac:dyDescent="0.25">
      <c r="A25" s="35">
        <v>45742</v>
      </c>
      <c r="B25" s="36" t="s">
        <v>23</v>
      </c>
      <c r="C25" s="37" t="s">
        <v>43</v>
      </c>
      <c r="D25" s="37" t="s">
        <v>3</v>
      </c>
      <c r="E25" s="38">
        <v>2.19</v>
      </c>
      <c r="F25" s="3"/>
      <c r="G25" s="6"/>
    </row>
    <row r="26" spans="1:7" x14ac:dyDescent="0.25">
      <c r="A26" s="35">
        <v>45742</v>
      </c>
      <c r="B26" s="36" t="s">
        <v>23</v>
      </c>
      <c r="C26" s="37" t="s">
        <v>12</v>
      </c>
      <c r="D26" s="37" t="s">
        <v>81</v>
      </c>
      <c r="E26" s="38">
        <v>129.24</v>
      </c>
      <c r="F26" s="3"/>
      <c r="G26" s="6"/>
    </row>
    <row r="27" spans="1:7" x14ac:dyDescent="0.25">
      <c r="A27" s="35">
        <v>45742</v>
      </c>
      <c r="B27" s="36" t="s">
        <v>23</v>
      </c>
      <c r="C27" s="37" t="s">
        <v>12</v>
      </c>
      <c r="D27" s="37" t="s">
        <v>3</v>
      </c>
      <c r="E27" s="38">
        <v>1.87</v>
      </c>
      <c r="F27" s="3"/>
      <c r="G27" s="6"/>
    </row>
    <row r="28" spans="1:7" x14ac:dyDescent="0.25">
      <c r="A28" s="35">
        <v>45742</v>
      </c>
      <c r="B28" s="36" t="s">
        <v>23</v>
      </c>
      <c r="C28" s="37" t="s">
        <v>12</v>
      </c>
      <c r="D28" s="37" t="s">
        <v>3</v>
      </c>
      <c r="E28" s="38">
        <v>5.4</v>
      </c>
      <c r="F28" s="3"/>
      <c r="G28" s="9"/>
    </row>
    <row r="29" spans="1:7" x14ac:dyDescent="0.25">
      <c r="A29" s="35">
        <v>45743</v>
      </c>
      <c r="B29" s="36" t="s">
        <v>23</v>
      </c>
      <c r="C29" s="37" t="s">
        <v>12</v>
      </c>
      <c r="D29" s="37" t="s">
        <v>3</v>
      </c>
      <c r="E29" s="38">
        <v>9.24</v>
      </c>
      <c r="F29" s="3"/>
      <c r="G29" s="6"/>
    </row>
    <row r="30" spans="1:7" x14ac:dyDescent="0.25">
      <c r="A30" s="35">
        <v>45743</v>
      </c>
      <c r="B30" s="36" t="s">
        <v>23</v>
      </c>
      <c r="C30" s="37" t="s">
        <v>12</v>
      </c>
      <c r="D30" s="37" t="s">
        <v>3</v>
      </c>
      <c r="E30" s="3"/>
      <c r="F30" s="38">
        <v>5.34</v>
      </c>
      <c r="G30" s="6"/>
    </row>
    <row r="31" spans="1:7" x14ac:dyDescent="0.25">
      <c r="A31" s="35">
        <v>45743</v>
      </c>
      <c r="B31" s="36" t="s">
        <v>23</v>
      </c>
      <c r="C31" s="37" t="s">
        <v>106</v>
      </c>
      <c r="D31" s="37" t="s">
        <v>81</v>
      </c>
      <c r="E31" s="3"/>
      <c r="F31" s="38">
        <v>8.2899999999999991</v>
      </c>
      <c r="G31" s="6"/>
    </row>
    <row r="32" spans="1:7" x14ac:dyDescent="0.25">
      <c r="A32" s="35">
        <v>45744</v>
      </c>
      <c r="B32" s="36" t="s">
        <v>23</v>
      </c>
      <c r="C32" s="37" t="s">
        <v>12</v>
      </c>
      <c r="D32" s="37" t="s">
        <v>3</v>
      </c>
      <c r="E32" s="38">
        <v>48.92</v>
      </c>
      <c r="F32" s="3"/>
      <c r="G32" s="6"/>
    </row>
    <row r="33" spans="1:7" x14ac:dyDescent="0.25">
      <c r="A33" s="35">
        <v>45744</v>
      </c>
      <c r="B33" s="36" t="s">
        <v>23</v>
      </c>
      <c r="C33" s="37" t="s">
        <v>94</v>
      </c>
      <c r="D33" s="37" t="s">
        <v>81</v>
      </c>
      <c r="E33" s="38">
        <v>1</v>
      </c>
      <c r="F33" s="3"/>
      <c r="G33" s="6"/>
    </row>
    <row r="34" spans="1:7" x14ac:dyDescent="0.25">
      <c r="A34" s="35">
        <v>45726</v>
      </c>
      <c r="B34" s="36" t="s">
        <v>16</v>
      </c>
      <c r="C34" s="37" t="s">
        <v>12</v>
      </c>
      <c r="D34" s="37" t="s">
        <v>15</v>
      </c>
      <c r="E34" s="38">
        <v>31.9</v>
      </c>
      <c r="F34" s="3"/>
      <c r="G34" s="6"/>
    </row>
    <row r="35" spans="1:7" x14ac:dyDescent="0.25">
      <c r="A35" s="35">
        <v>45729</v>
      </c>
      <c r="B35" s="36" t="s">
        <v>16</v>
      </c>
      <c r="C35" s="37" t="s">
        <v>66</v>
      </c>
      <c r="D35" s="37" t="s">
        <v>6</v>
      </c>
      <c r="E35" s="38">
        <v>7.72</v>
      </c>
      <c r="F35" s="3"/>
      <c r="G35" s="6"/>
    </row>
    <row r="36" spans="1:7" x14ac:dyDescent="0.25">
      <c r="A36" s="35">
        <v>45731</v>
      </c>
      <c r="B36" s="36" t="s">
        <v>16</v>
      </c>
      <c r="C36" s="37" t="s">
        <v>16</v>
      </c>
      <c r="D36" s="37" t="s">
        <v>3</v>
      </c>
      <c r="E36" s="38">
        <v>70.63</v>
      </c>
      <c r="F36" s="3"/>
      <c r="G36" s="6"/>
    </row>
    <row r="37" spans="1:7" x14ac:dyDescent="0.25">
      <c r="A37" s="35">
        <v>45732</v>
      </c>
      <c r="B37" s="36" t="s">
        <v>16</v>
      </c>
      <c r="C37" s="37" t="s">
        <v>16</v>
      </c>
      <c r="D37" s="37" t="s">
        <v>15</v>
      </c>
      <c r="E37" s="38">
        <v>31.33</v>
      </c>
      <c r="F37" s="3"/>
      <c r="G37" s="6"/>
    </row>
    <row r="38" spans="1:7" x14ac:dyDescent="0.25">
      <c r="A38" s="35">
        <v>45732</v>
      </c>
      <c r="B38" s="36" t="s">
        <v>16</v>
      </c>
      <c r="C38" s="37" t="s">
        <v>16</v>
      </c>
      <c r="D38" s="37" t="s">
        <v>81</v>
      </c>
      <c r="E38" s="38">
        <v>91.63</v>
      </c>
      <c r="F38" s="38">
        <v>70.63</v>
      </c>
      <c r="G38" s="6"/>
    </row>
    <row r="39" spans="1:7" x14ac:dyDescent="0.25">
      <c r="A39" s="35">
        <v>45737</v>
      </c>
      <c r="B39" s="36" t="s">
        <v>16</v>
      </c>
      <c r="C39" s="37" t="s">
        <v>16</v>
      </c>
      <c r="D39" s="37" t="s">
        <v>15</v>
      </c>
      <c r="E39" s="38">
        <v>27.84</v>
      </c>
      <c r="F39" s="3"/>
      <c r="G39" s="6"/>
    </row>
    <row r="40" spans="1:7" x14ac:dyDescent="0.25">
      <c r="A40" s="35">
        <v>45741</v>
      </c>
      <c r="B40" s="36" t="s">
        <v>16</v>
      </c>
      <c r="C40" s="37" t="s">
        <v>16</v>
      </c>
      <c r="D40" s="37" t="s">
        <v>81</v>
      </c>
      <c r="E40" s="38">
        <v>66.209999999999994</v>
      </c>
      <c r="F40" s="3"/>
      <c r="G40" s="6"/>
    </row>
    <row r="41" spans="1:7" x14ac:dyDescent="0.25">
      <c r="A41" s="35">
        <v>45741</v>
      </c>
      <c r="B41" s="36" t="s">
        <v>16</v>
      </c>
      <c r="C41" s="37" t="s">
        <v>66</v>
      </c>
      <c r="D41" s="37" t="s">
        <v>6</v>
      </c>
      <c r="E41" s="38">
        <v>6.37</v>
      </c>
      <c r="F41" s="3"/>
      <c r="G41" s="6"/>
    </row>
    <row r="42" spans="1:7" x14ac:dyDescent="0.25">
      <c r="A42" s="35">
        <v>45742</v>
      </c>
      <c r="B42" s="36" t="s">
        <v>16</v>
      </c>
      <c r="C42" s="37" t="s">
        <v>12</v>
      </c>
      <c r="D42" s="37" t="s">
        <v>15</v>
      </c>
      <c r="E42" s="38">
        <v>17.05</v>
      </c>
      <c r="F42" s="3"/>
      <c r="G42" s="6"/>
    </row>
    <row r="43" spans="1:7" x14ac:dyDescent="0.25">
      <c r="A43" s="35">
        <v>45742</v>
      </c>
      <c r="B43" s="36" t="s">
        <v>16</v>
      </c>
      <c r="C43" s="37" t="s">
        <v>66</v>
      </c>
      <c r="D43" s="37" t="s">
        <v>6</v>
      </c>
      <c r="E43" s="38">
        <v>8.76</v>
      </c>
      <c r="F43" s="3"/>
      <c r="G43" s="6"/>
    </row>
    <row r="44" spans="1:7" x14ac:dyDescent="0.25">
      <c r="A44" s="35">
        <v>45742</v>
      </c>
      <c r="B44" s="36" t="s">
        <v>16</v>
      </c>
      <c r="C44" s="37" t="s">
        <v>12</v>
      </c>
      <c r="D44" s="37" t="s">
        <v>6</v>
      </c>
      <c r="E44" s="38">
        <v>2.0699999999999998</v>
      </c>
      <c r="F44" s="3"/>
      <c r="G44" s="6"/>
    </row>
    <row r="45" spans="1:7" x14ac:dyDescent="0.25">
      <c r="A45" s="35">
        <v>45742</v>
      </c>
      <c r="B45" s="36" t="s">
        <v>16</v>
      </c>
      <c r="C45" s="37" t="s">
        <v>12</v>
      </c>
      <c r="D45" s="37" t="s">
        <v>15</v>
      </c>
      <c r="E45" s="38">
        <v>26.58</v>
      </c>
      <c r="F45" s="3"/>
      <c r="G45" s="6"/>
    </row>
    <row r="46" spans="1:7" x14ac:dyDescent="0.25">
      <c r="A46" s="35">
        <v>45743</v>
      </c>
      <c r="B46" s="36" t="s">
        <v>16</v>
      </c>
      <c r="C46" s="37" t="s">
        <v>66</v>
      </c>
      <c r="D46" s="37" t="s">
        <v>6</v>
      </c>
      <c r="E46" s="38">
        <v>8.2100000000000009</v>
      </c>
      <c r="F46" s="3"/>
      <c r="G46" s="6"/>
    </row>
    <row r="47" spans="1:7" x14ac:dyDescent="0.25">
      <c r="A47" s="8"/>
      <c r="B47" s="4"/>
      <c r="C47" s="5"/>
      <c r="D47" s="5"/>
      <c r="E47" s="3"/>
      <c r="F47" s="3"/>
      <c r="G47" s="6"/>
    </row>
    <row r="48" spans="1:7" x14ac:dyDescent="0.25">
      <c r="A48" s="8"/>
      <c r="B48" s="4"/>
      <c r="C48" s="5"/>
      <c r="D48" s="5"/>
      <c r="E48" s="3"/>
      <c r="F48" s="3"/>
      <c r="G48" s="6"/>
    </row>
    <row r="49" spans="1:7" x14ac:dyDescent="0.25">
      <c r="A49" s="8"/>
      <c r="B49" s="4"/>
      <c r="C49" s="5"/>
      <c r="D49" s="5"/>
      <c r="E49" s="3"/>
      <c r="F49" s="3"/>
      <c r="G49" s="6"/>
    </row>
    <row r="50" spans="1:7" x14ac:dyDescent="0.25">
      <c r="A50" s="8"/>
      <c r="B50" s="4"/>
      <c r="C50" s="5"/>
      <c r="D50" s="5"/>
      <c r="E50" s="3"/>
      <c r="F50" s="3"/>
      <c r="G50" s="6"/>
    </row>
    <row r="51" spans="1:7" x14ac:dyDescent="0.25">
      <c r="A51" s="8"/>
      <c r="B51" s="4"/>
      <c r="C51" s="5"/>
      <c r="D51" s="5"/>
      <c r="E51" s="3"/>
      <c r="F51" s="3"/>
      <c r="G51" s="6"/>
    </row>
    <row r="52" spans="1:7" x14ac:dyDescent="0.25">
      <c r="A52" s="8"/>
      <c r="B52" s="4"/>
      <c r="C52" s="5"/>
      <c r="D52" s="5"/>
      <c r="E52" s="3"/>
      <c r="F52" s="3"/>
      <c r="G52" s="6"/>
    </row>
    <row r="53" spans="1:7" x14ac:dyDescent="0.25">
      <c r="A53" s="8"/>
      <c r="B53" s="4"/>
      <c r="C53" s="5"/>
      <c r="D53" s="5"/>
      <c r="E53" s="3"/>
      <c r="F53" s="3"/>
      <c r="G53" s="6"/>
    </row>
    <row r="54" spans="1:7" x14ac:dyDescent="0.25">
      <c r="A54" s="8"/>
      <c r="B54" s="4"/>
      <c r="C54" s="5"/>
      <c r="D54" s="5"/>
      <c r="E54" s="3"/>
      <c r="F54" s="3"/>
      <c r="G54" s="6"/>
    </row>
    <row r="55" spans="1:7" x14ac:dyDescent="0.25">
      <c r="A55" s="8"/>
      <c r="B55" s="4"/>
      <c r="C55" s="5"/>
      <c r="D55" s="5"/>
      <c r="E55" s="3"/>
      <c r="F55" s="3"/>
      <c r="G55" s="6"/>
    </row>
    <row r="56" spans="1:7" x14ac:dyDescent="0.25">
      <c r="A56" s="8"/>
      <c r="B56" s="4"/>
      <c r="C56" s="5"/>
      <c r="D56" s="5"/>
      <c r="E56" s="3"/>
      <c r="F56" s="3"/>
      <c r="G56" s="6"/>
    </row>
    <row r="57" spans="1:7" x14ac:dyDescent="0.25">
      <c r="A57" s="8"/>
      <c r="B57" s="4"/>
      <c r="C57" s="5"/>
      <c r="D57" s="5"/>
      <c r="E57" s="3"/>
      <c r="F57" s="3"/>
      <c r="G57" s="6"/>
    </row>
    <row r="58" spans="1:7" x14ac:dyDescent="0.25">
      <c r="A58" s="8"/>
      <c r="B58" s="4"/>
      <c r="C58" s="5"/>
      <c r="D58" s="5"/>
      <c r="E58" s="3"/>
      <c r="F58" s="3"/>
      <c r="G58" s="6"/>
    </row>
    <row r="59" spans="1:7" x14ac:dyDescent="0.25">
      <c r="A59" s="8"/>
      <c r="B59" s="4"/>
      <c r="C59" s="5"/>
      <c r="D59" s="5"/>
      <c r="E59" s="3"/>
      <c r="F59" s="3"/>
      <c r="G59" s="6"/>
    </row>
    <row r="60" spans="1:7" x14ac:dyDescent="0.25">
      <c r="A60" s="8"/>
      <c r="B60" s="4"/>
      <c r="C60" s="5"/>
      <c r="D60" s="5"/>
      <c r="E60" s="3"/>
      <c r="F60" s="3"/>
      <c r="G60" s="6"/>
    </row>
    <row r="61" spans="1:7" x14ac:dyDescent="0.25">
      <c r="A61" s="8"/>
      <c r="B61" s="4"/>
      <c r="C61" s="5"/>
      <c r="D61" s="5"/>
      <c r="E61" s="3"/>
      <c r="F61" s="3"/>
      <c r="G61" s="6"/>
    </row>
    <row r="62" spans="1:7" x14ac:dyDescent="0.25">
      <c r="A62" s="8"/>
      <c r="B62" s="4"/>
      <c r="C62" s="5"/>
      <c r="D62" s="5"/>
      <c r="E62" s="3"/>
      <c r="F62" s="3"/>
      <c r="G62" s="6"/>
    </row>
    <row r="63" spans="1:7" x14ac:dyDescent="0.25">
      <c r="A63" s="8"/>
      <c r="B63" s="4"/>
      <c r="C63" s="5"/>
      <c r="D63" s="5"/>
      <c r="E63" s="3"/>
      <c r="F63" s="3"/>
      <c r="G63" s="6"/>
    </row>
    <row r="64" spans="1:7" x14ac:dyDescent="0.25">
      <c r="A64" s="8"/>
      <c r="B64" s="4"/>
      <c r="C64" s="5"/>
      <c r="D64" s="5"/>
      <c r="E64" s="3"/>
      <c r="F64" s="3"/>
      <c r="G64" s="6"/>
    </row>
    <row r="65" spans="1:7" x14ac:dyDescent="0.25">
      <c r="A65" s="8"/>
      <c r="B65" s="4"/>
      <c r="C65" s="5"/>
      <c r="D65" s="5"/>
      <c r="E65" s="3"/>
      <c r="F65" s="3"/>
      <c r="G65" s="6"/>
    </row>
    <row r="66" spans="1:7" x14ac:dyDescent="0.25">
      <c r="A66" s="8"/>
      <c r="B66" s="4"/>
      <c r="C66" s="5"/>
      <c r="D66" s="5"/>
      <c r="E66" s="3"/>
      <c r="F66" s="3"/>
      <c r="G66" s="6"/>
    </row>
    <row r="67" spans="1:7" x14ac:dyDescent="0.25">
      <c r="A67" s="8"/>
      <c r="B67" s="4"/>
      <c r="C67" s="5"/>
      <c r="D67" s="5"/>
      <c r="E67" s="3"/>
      <c r="F67" s="3"/>
      <c r="G67" s="6"/>
    </row>
    <row r="68" spans="1:7" x14ac:dyDescent="0.25">
      <c r="A68" s="8"/>
      <c r="B68" s="4"/>
      <c r="C68" s="5"/>
      <c r="D68" s="5"/>
      <c r="E68" s="3"/>
      <c r="F68" s="3"/>
      <c r="G68" s="6"/>
    </row>
    <row r="69" spans="1:7" x14ac:dyDescent="0.25">
      <c r="A69" s="8"/>
      <c r="B69" s="4"/>
      <c r="C69" s="5"/>
      <c r="D69" s="5"/>
      <c r="E69" s="3"/>
      <c r="F69" s="3"/>
      <c r="G69" s="6"/>
    </row>
    <row r="70" spans="1:7" x14ac:dyDescent="0.25">
      <c r="A70" s="8"/>
      <c r="B70" s="4"/>
      <c r="C70" s="5"/>
      <c r="D70" s="5"/>
      <c r="E70" s="3"/>
      <c r="F70" s="3"/>
      <c r="G70" s="6"/>
    </row>
    <row r="71" spans="1:7" x14ac:dyDescent="0.25">
      <c r="A71" s="8"/>
      <c r="B71" s="4"/>
      <c r="C71" s="5"/>
      <c r="D71" s="5"/>
      <c r="E71" s="3"/>
      <c r="F71" s="3"/>
      <c r="G71" s="6"/>
    </row>
    <row r="72" spans="1:7" x14ac:dyDescent="0.25">
      <c r="A72" s="8"/>
      <c r="B72" s="4"/>
      <c r="C72" s="5"/>
      <c r="D72" s="5"/>
      <c r="E72" s="3"/>
      <c r="F72" s="3"/>
      <c r="G72" s="6"/>
    </row>
    <row r="73" spans="1:7" x14ac:dyDescent="0.25">
      <c r="A73" s="8"/>
      <c r="B73" s="4"/>
      <c r="C73" s="5"/>
      <c r="D73" s="5"/>
      <c r="E73" s="3"/>
      <c r="F73" s="3"/>
      <c r="G73" s="6"/>
    </row>
    <row r="74" spans="1:7" x14ac:dyDescent="0.25">
      <c r="A74" s="8"/>
      <c r="B74" s="4"/>
      <c r="C74" s="5"/>
      <c r="D74" s="5"/>
      <c r="E74" s="3"/>
      <c r="F74" s="3"/>
      <c r="G74" s="6"/>
    </row>
    <row r="75" spans="1:7" x14ac:dyDescent="0.25">
      <c r="A75" s="8"/>
      <c r="B75" s="4"/>
      <c r="C75" s="5"/>
      <c r="D75" s="5"/>
      <c r="E75" s="3"/>
      <c r="F75" s="3"/>
      <c r="G75" s="6"/>
    </row>
    <row r="76" spans="1:7" x14ac:dyDescent="0.25">
      <c r="A76" s="8"/>
      <c r="B76" s="4"/>
      <c r="C76" s="5"/>
      <c r="D76" s="5"/>
      <c r="E76" s="3"/>
      <c r="F76" s="3"/>
      <c r="G76" s="6"/>
    </row>
    <row r="77" spans="1:7" x14ac:dyDescent="0.25">
      <c r="A77" s="8"/>
      <c r="B77" s="4"/>
      <c r="C77" s="5"/>
      <c r="D77" s="5"/>
      <c r="E77" s="3"/>
      <c r="F77" s="3"/>
      <c r="G77" s="6"/>
    </row>
    <row r="78" spans="1:7" x14ac:dyDescent="0.25">
      <c r="A78" s="8"/>
      <c r="B78" s="4"/>
      <c r="C78" s="5"/>
      <c r="D78" s="5"/>
      <c r="E78" s="3"/>
      <c r="F78" s="3"/>
      <c r="G78" s="6"/>
    </row>
    <row r="79" spans="1:7" x14ac:dyDescent="0.25">
      <c r="A79" s="8"/>
      <c r="B79" s="4"/>
      <c r="C79" s="5"/>
      <c r="D79" s="5"/>
      <c r="E79" s="3"/>
      <c r="F79" s="3"/>
      <c r="G79" s="6"/>
    </row>
    <row r="80" spans="1:7" x14ac:dyDescent="0.25">
      <c r="A80" s="8"/>
      <c r="B80" s="4"/>
      <c r="C80" s="5"/>
      <c r="D80" s="5"/>
      <c r="E80" s="3"/>
      <c r="F80" s="3"/>
      <c r="G80" s="6"/>
    </row>
    <row r="81" spans="1:7" x14ac:dyDescent="0.25">
      <c r="A81" s="8"/>
      <c r="B81" s="4"/>
      <c r="C81" s="5"/>
      <c r="D81" s="5"/>
      <c r="E81" s="3"/>
      <c r="F81" s="3"/>
      <c r="G81" s="6"/>
    </row>
    <row r="82" spans="1:7" x14ac:dyDescent="0.25">
      <c r="A82" s="8"/>
      <c r="B82" s="4"/>
      <c r="C82" s="5"/>
      <c r="D82" s="5"/>
      <c r="E82" s="3"/>
      <c r="F82" s="3"/>
      <c r="G82" s="6"/>
    </row>
    <row r="83" spans="1:7" x14ac:dyDescent="0.25">
      <c r="A83" s="8"/>
      <c r="B83" s="4"/>
      <c r="C83" s="5"/>
      <c r="D83" s="5"/>
      <c r="E83" s="3"/>
      <c r="F83" s="3"/>
      <c r="G83" s="6"/>
    </row>
    <row r="84" spans="1:7" x14ac:dyDescent="0.25">
      <c r="A84" s="8"/>
      <c r="B84" s="4"/>
      <c r="C84" s="5"/>
      <c r="D84" s="5"/>
      <c r="E84" s="3"/>
      <c r="F84" s="3"/>
      <c r="G84" s="6"/>
    </row>
    <row r="85" spans="1:7" x14ac:dyDescent="0.25">
      <c r="A85" s="8"/>
      <c r="B85" s="4"/>
      <c r="C85" s="5"/>
      <c r="D85" s="5"/>
      <c r="E85" s="3"/>
      <c r="F85" s="3"/>
      <c r="G85" s="6"/>
    </row>
    <row r="86" spans="1:7" x14ac:dyDescent="0.25">
      <c r="A86" s="8"/>
      <c r="B86" s="4"/>
      <c r="C86" s="5"/>
      <c r="D86" s="5"/>
      <c r="E86" s="3"/>
      <c r="F86" s="3"/>
      <c r="G86" s="6"/>
    </row>
    <row r="87" spans="1:7" x14ac:dyDescent="0.25">
      <c r="A87" s="8"/>
      <c r="B87" s="4"/>
      <c r="C87" s="5"/>
      <c r="D87" s="5"/>
      <c r="E87" s="3"/>
      <c r="F87" s="3"/>
      <c r="G87" s="6"/>
    </row>
    <row r="88" spans="1:7" x14ac:dyDescent="0.25">
      <c r="A88" s="8"/>
      <c r="B88" s="4"/>
      <c r="C88" s="5"/>
      <c r="D88" s="5"/>
      <c r="E88" s="3"/>
      <c r="F88" s="3"/>
      <c r="G88" s="6"/>
    </row>
    <row r="89" spans="1:7" x14ac:dyDescent="0.25">
      <c r="A89" s="8"/>
      <c r="B89" s="4"/>
      <c r="C89" s="5"/>
      <c r="D89" s="5"/>
      <c r="E89" s="3"/>
      <c r="F89" s="3"/>
      <c r="G89" s="6"/>
    </row>
    <row r="90" spans="1:7" x14ac:dyDescent="0.25">
      <c r="A90" s="8"/>
      <c r="B90" s="4"/>
      <c r="C90" s="5"/>
      <c r="D90" s="5"/>
      <c r="E90" s="3"/>
      <c r="F90" s="3"/>
      <c r="G90" s="6"/>
    </row>
    <row r="91" spans="1:7" x14ac:dyDescent="0.25">
      <c r="A91" s="8"/>
      <c r="B91" s="4"/>
      <c r="C91" s="5"/>
      <c r="D91" s="5"/>
      <c r="E91" s="3"/>
      <c r="F91" s="3"/>
      <c r="G91" s="6"/>
    </row>
    <row r="92" spans="1:7" x14ac:dyDescent="0.25">
      <c r="A92" s="8"/>
      <c r="B92" s="4"/>
      <c r="C92" s="5"/>
      <c r="D92" s="5"/>
      <c r="E92" s="3"/>
      <c r="F92" s="3"/>
      <c r="G92" s="6"/>
    </row>
    <row r="93" spans="1:7" x14ac:dyDescent="0.25">
      <c r="A93" s="8"/>
      <c r="B93" s="4"/>
      <c r="C93" s="5"/>
      <c r="D93" s="5"/>
      <c r="E93" s="3"/>
      <c r="F93" s="3"/>
      <c r="G93" s="6"/>
    </row>
    <row r="94" spans="1:7" x14ac:dyDescent="0.25">
      <c r="A94" s="8"/>
      <c r="B94" s="4"/>
      <c r="C94" s="5"/>
      <c r="D94" s="5"/>
      <c r="E94" s="3"/>
      <c r="F94" s="3"/>
      <c r="G94" s="6"/>
    </row>
    <row r="95" spans="1:7" x14ac:dyDescent="0.25">
      <c r="A95" s="8"/>
      <c r="B95" s="4"/>
      <c r="C95" s="5"/>
      <c r="D95" s="5"/>
      <c r="E95" s="3"/>
      <c r="F95" s="3"/>
      <c r="G95" s="6"/>
    </row>
    <row r="96" spans="1:7" x14ac:dyDescent="0.25">
      <c r="A96" s="8"/>
      <c r="B96" s="4"/>
      <c r="C96" s="5"/>
      <c r="D96" s="5"/>
      <c r="E96" s="3"/>
      <c r="F96" s="3"/>
      <c r="G96" s="6"/>
    </row>
    <row r="97" spans="1:7" x14ac:dyDescent="0.25">
      <c r="A97" s="8"/>
      <c r="B97" s="4"/>
      <c r="C97" s="5"/>
      <c r="D97" s="5"/>
      <c r="E97" s="3"/>
      <c r="F97" s="3"/>
      <c r="G97" s="6"/>
    </row>
    <row r="98" spans="1:7" x14ac:dyDescent="0.25">
      <c r="A98" s="8"/>
      <c r="B98" s="4"/>
      <c r="C98" s="5"/>
      <c r="D98" s="5"/>
      <c r="E98" s="3"/>
      <c r="F98" s="3"/>
      <c r="G98" s="6"/>
    </row>
    <row r="99" spans="1:7" x14ac:dyDescent="0.25">
      <c r="A99" s="8"/>
      <c r="B99" s="4"/>
      <c r="C99" s="5"/>
      <c r="D99" s="5"/>
      <c r="E99" s="3"/>
      <c r="F99" s="3"/>
      <c r="G99" s="6"/>
    </row>
    <row r="100" spans="1:7" x14ac:dyDescent="0.25">
      <c r="A100" s="8"/>
      <c r="B100" s="4"/>
      <c r="C100" s="5"/>
      <c r="D100" s="5"/>
      <c r="E100" s="3"/>
      <c r="F100" s="3"/>
      <c r="G100" s="6"/>
    </row>
    <row r="101" spans="1:7" x14ac:dyDescent="0.25">
      <c r="A101" s="8"/>
      <c r="B101" s="4"/>
      <c r="C101" s="5"/>
      <c r="D101" s="5"/>
      <c r="E101" s="3"/>
      <c r="F101" s="3"/>
      <c r="G101" s="6"/>
    </row>
    <row r="102" spans="1:7" x14ac:dyDescent="0.25">
      <c r="A102" s="42" t="s">
        <v>21</v>
      </c>
      <c r="B102" s="43"/>
      <c r="C102" s="2"/>
      <c r="D102" s="2"/>
      <c r="E102" s="38">
        <f>SUM(E2:E101)</f>
        <v>1875.0900000000001</v>
      </c>
      <c r="F102" s="38">
        <f>SUM(F2:F101)</f>
        <v>106.55999999999999</v>
      </c>
      <c r="G102" s="44">
        <f>SUM(G5:G101)</f>
        <v>23.6</v>
      </c>
    </row>
    <row r="103" spans="1:7" x14ac:dyDescent="0.25">
      <c r="A103" s="45" t="s">
        <v>17</v>
      </c>
      <c r="B103" s="46"/>
      <c r="C103" s="51">
        <f>SUMIF(B2:B101,"Capitol One",F2:F101)</f>
        <v>35.929999999999993</v>
      </c>
      <c r="D103" s="2"/>
      <c r="E103" s="2"/>
      <c r="F103" s="2"/>
      <c r="G103" s="9"/>
    </row>
    <row r="104" spans="1:7" x14ac:dyDescent="0.25">
      <c r="A104" s="42" t="s">
        <v>18</v>
      </c>
      <c r="B104" s="43"/>
      <c r="C104" s="38">
        <f>SUMIF(B2:B101,"Sam's Club",F2:F101)</f>
        <v>70.63</v>
      </c>
      <c r="D104" s="2"/>
      <c r="E104" s="2"/>
      <c r="F104" s="2"/>
      <c r="G104" s="9"/>
    </row>
    <row r="105" spans="1:7" x14ac:dyDescent="0.25">
      <c r="A105" s="42" t="s">
        <v>90</v>
      </c>
      <c r="B105" s="43"/>
      <c r="C105" s="51">
        <f>SUMIF(B2:B101,"Discover",F2:F101)</f>
        <v>0</v>
      </c>
      <c r="D105" s="17"/>
      <c r="E105" s="17"/>
      <c r="F105" s="17"/>
      <c r="G105" s="13"/>
    </row>
    <row r="106" spans="1:7" x14ac:dyDescent="0.25">
      <c r="A106" s="42" t="s">
        <v>91</v>
      </c>
      <c r="B106" s="43"/>
      <c r="C106" s="38">
        <f>SUMIF($B2:B101,"Discover",$E2:E101)+SUMIF($B2:B101,"Discover",$G2:G101)-C105</f>
        <v>0</v>
      </c>
      <c r="D106" s="2"/>
      <c r="E106" s="2"/>
      <c r="F106" s="2"/>
      <c r="G106" s="9"/>
    </row>
    <row r="107" spans="1:7" x14ac:dyDescent="0.25">
      <c r="A107" s="45" t="s">
        <v>19</v>
      </c>
      <c r="B107" s="46"/>
      <c r="C107" s="38">
        <f>SUMIF($B2:B101,"Capitol One",$E2:E101)+SUMIF($B2:B101,"Capitol One",$G2:G101)-C103</f>
        <v>1466.46</v>
      </c>
      <c r="D107" s="2"/>
      <c r="E107" s="2"/>
      <c r="F107" s="2"/>
      <c r="G107" s="9"/>
    </row>
    <row r="108" spans="1:7" ht="15.75" thickBot="1" x14ac:dyDescent="0.3">
      <c r="A108" s="47" t="s">
        <v>20</v>
      </c>
      <c r="B108" s="48"/>
      <c r="C108" s="49">
        <f>SUMIF($B2:B101,"Sam's Club",$E2:E101)+SUMIF($B2:B101,"Sam's Club",$G2:G101)-C104</f>
        <v>325.6699999999999</v>
      </c>
      <c r="D108" s="10"/>
      <c r="E108" s="10"/>
      <c r="F108" s="10"/>
      <c r="G108" s="11"/>
    </row>
  </sheetData>
  <autoFilter ref="A1:G1" xr:uid="{55C6C991-3FFE-4866-967D-4139DF94C020}">
    <sortState xmlns:xlrd2="http://schemas.microsoft.com/office/spreadsheetml/2017/richdata2" ref="A2:G99">
      <sortCondition ref="B1"/>
    </sortState>
  </autoFilter>
  <dataConsolidate/>
  <mergeCells count="7">
    <mergeCell ref="A108:B108"/>
    <mergeCell ref="A102:B102"/>
    <mergeCell ref="A103:B103"/>
    <mergeCell ref="A104:B104"/>
    <mergeCell ref="A105:B105"/>
    <mergeCell ref="A106:B106"/>
    <mergeCell ref="A107:B107"/>
  </mergeCells>
  <dataValidations count="15">
    <dataValidation type="date" allowBlank="1" showInputMessage="1" showErrorMessage="1" sqref="A97:A101" xr:uid="{933E386A-7DFD-44AE-934C-35799F3C79EB}">
      <formula1>A97</formula1>
      <formula2>A111</formula2>
    </dataValidation>
    <dataValidation type="date" allowBlank="1" showInputMessage="1" showErrorMessage="1" sqref="A23:A30" xr:uid="{4E68E762-C036-4DDE-8839-AE1BD3417663}">
      <formula1>A23</formula1>
      <formula2>A127</formula2>
    </dataValidation>
    <dataValidation type="date" allowBlank="1" showInputMessage="1" showErrorMessage="1" sqref="A57 A2:A22 A36 A43" xr:uid="{5662B022-C797-404A-AAD2-45C2DB05E586}">
      <formula1>A2</formula1>
      <formula2>A105</formula2>
    </dataValidation>
    <dataValidation type="date" allowBlank="1" showInputMessage="1" showErrorMessage="1" sqref="A44:A46 A48:A49 A53 A55" xr:uid="{49D82F28-AD4F-4899-9E82-1F86BC7DFD91}">
      <formula1>A44</formula1>
      <formula2>A133</formula2>
    </dataValidation>
    <dataValidation type="date" allowBlank="1" showInputMessage="1" showErrorMessage="1" sqref="A31:A35 A37:A42 A47 A50:A52" xr:uid="{90DB359E-E8F5-4D6D-AB1B-3A71DA7488A8}">
      <formula1>A31</formula1>
      <formula2>A128</formula2>
    </dataValidation>
    <dataValidation type="list" allowBlank="1" showInputMessage="1" showErrorMessage="1" sqref="C2:C101" xr:uid="{1249384C-768E-4B84-BD3C-DDC71608B1BB}">
      <formula1>StoresDescription</formula1>
    </dataValidation>
    <dataValidation type="list" allowBlank="1" showInputMessage="1" showErrorMessage="1" sqref="D2:D101" xr:uid="{79FB87C8-46CB-4C81-B987-7066AA060171}">
      <formula1>ItemsDescription</formula1>
    </dataValidation>
    <dataValidation type="list" allowBlank="1" showInputMessage="1" showErrorMessage="1" sqref="B2:B101" xr:uid="{0052FC18-28EB-4D5F-A7F0-C3F13ABAC835}">
      <formula1>CCUsed</formula1>
    </dataValidation>
    <dataValidation type="date" allowBlank="1" showInputMessage="1" showErrorMessage="1" sqref="A78 A80:A81 A93" xr:uid="{B0A52328-4644-4F2C-8F50-28CDB2723062}">
      <formula1>A78</formula1>
      <formula2>A130</formula2>
    </dataValidation>
    <dataValidation type="date" allowBlank="1" showInputMessage="1" showErrorMessage="1" sqref="A66" xr:uid="{810E7A3D-2486-4364-95E6-CEBAC95FF70D}">
      <formula1>A66</formula1>
      <formula2>A108</formula2>
    </dataValidation>
    <dataValidation type="date" allowBlank="1" showInputMessage="1" showErrorMessage="1" sqref="A64:A65 A68:A77 A79" xr:uid="{13021F65-4B4A-41D8-B293-B87B38414423}">
      <formula1>A64</formula1>
      <formula2>A110</formula2>
    </dataValidation>
    <dataValidation type="date" allowBlank="1" showInputMessage="1" showErrorMessage="1" sqref="A67 A54 A56 A58:A63" xr:uid="{D8A3E4CB-2F0A-4D2A-889C-18DBB789B4AE}">
      <formula1>A54</formula1>
      <formula2>A121</formula2>
    </dataValidation>
    <dataValidation type="date" allowBlank="1" showInputMessage="1" showErrorMessage="1" sqref="A88:A92" xr:uid="{9FDEB4B1-8C2C-4F64-A5BC-5B8908B5C815}">
      <formula1>A88</formula1>
      <formula2>A115</formula2>
    </dataValidation>
    <dataValidation type="date" allowBlank="1" showInputMessage="1" showErrorMessage="1" sqref="A82:A87" xr:uid="{E33B5CB1-FD58-4A6E-907B-F5A4D1488C2E}">
      <formula1>A82</formula1>
      <formula2>A113</formula2>
    </dataValidation>
    <dataValidation type="date" allowBlank="1" showInputMessage="1" showErrorMessage="1" sqref="A94:A96" xr:uid="{6D80E9A2-E505-45E9-BF89-7D205C3B3AC9}">
      <formula1>A94</formula1>
      <formula2>A129</formula2>
    </dataValidation>
  </dataValidations>
  <pageMargins left="0.7" right="0.7" top="0.75" bottom="0.75" header="0.3" footer="0.3"/>
  <pageSetup scale="5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A0CE-AE3A-41F0-8A65-FD2F32E4BE6E}">
  <sheetPr codeName="Sheet5"/>
  <dimension ref="A1:J108"/>
  <sheetViews>
    <sheetView zoomScale="115" zoomScaleNormal="115" zoomScaleSheetLayoutView="62" workbookViewId="0">
      <pane ySplit="1" topLeftCell="A2" activePane="bottomLeft" state="frozen"/>
      <selection activeCell="C4" sqref="C4"/>
      <selection pane="bottomLeft" activeCell="C7" sqref="C7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4.5703125" bestFit="1" customWidth="1"/>
    <col min="4" max="4" width="20.140625" bestFit="1" customWidth="1"/>
    <col min="5" max="5" width="11.140625" bestFit="1" customWidth="1"/>
    <col min="6" max="6" width="9.85546875" bestFit="1" customWidth="1"/>
    <col min="7" max="7" width="8.7109375" bestFit="1" customWidth="1"/>
    <col min="8" max="8" width="8.5703125" customWidth="1"/>
    <col min="9" max="9" width="20.28515625" bestFit="1" customWidth="1"/>
    <col min="10" max="10" width="9.7109375" bestFit="1" customWidth="1"/>
  </cols>
  <sheetData>
    <row r="1" spans="1:10" x14ac:dyDescent="0.25">
      <c r="A1" s="31" t="s">
        <v>0</v>
      </c>
      <c r="B1" s="32" t="s">
        <v>24</v>
      </c>
      <c r="C1" s="33" t="s">
        <v>1</v>
      </c>
      <c r="D1" s="33" t="s">
        <v>2</v>
      </c>
      <c r="E1" s="33" t="s">
        <v>25</v>
      </c>
      <c r="F1" s="33" t="s">
        <v>26</v>
      </c>
      <c r="G1" s="34" t="s">
        <v>30</v>
      </c>
    </row>
    <row r="2" spans="1:10" x14ac:dyDescent="0.25">
      <c r="A2" s="8"/>
      <c r="B2" s="4"/>
      <c r="C2" s="5"/>
      <c r="D2" s="5"/>
      <c r="E2" s="3"/>
      <c r="F2" s="3"/>
      <c r="G2" s="14"/>
    </row>
    <row r="3" spans="1:10" x14ac:dyDescent="0.25">
      <c r="A3" s="8"/>
      <c r="B3" s="4"/>
      <c r="C3" s="5"/>
      <c r="D3" s="5"/>
      <c r="E3" s="3"/>
      <c r="F3" s="3"/>
      <c r="G3" s="6"/>
    </row>
    <row r="4" spans="1:10" x14ac:dyDescent="0.25">
      <c r="A4" s="8"/>
      <c r="B4" s="4"/>
      <c r="C4" s="5"/>
      <c r="D4" s="5"/>
      <c r="E4" s="3"/>
      <c r="F4" s="3"/>
      <c r="G4" s="6"/>
    </row>
    <row r="5" spans="1:10" x14ac:dyDescent="0.25">
      <c r="A5" s="8"/>
      <c r="B5" s="4"/>
      <c r="C5" s="5"/>
      <c r="D5" s="5"/>
      <c r="E5" s="3"/>
      <c r="F5" s="3"/>
      <c r="G5" s="6"/>
      <c r="I5" s="39" t="s">
        <v>81</v>
      </c>
      <c r="J5" s="38">
        <f t="shared" ref="J5:J11" si="0">SUMIF($D$2:$D$84,I5,$E$2:$E$84)-SUMIF($D$2:$D$84,I5,$F$2:$F$84)</f>
        <v>0</v>
      </c>
    </row>
    <row r="6" spans="1:10" x14ac:dyDescent="0.25">
      <c r="A6" s="8"/>
      <c r="B6" s="4"/>
      <c r="C6" s="5"/>
      <c r="D6" s="5"/>
      <c r="E6" s="3"/>
      <c r="F6" s="3"/>
      <c r="G6" s="6"/>
      <c r="I6" s="39" t="s">
        <v>5</v>
      </c>
      <c r="J6" s="38">
        <f t="shared" si="0"/>
        <v>0</v>
      </c>
    </row>
    <row r="7" spans="1:10" x14ac:dyDescent="0.25">
      <c r="A7" s="8"/>
      <c r="B7" s="4"/>
      <c r="C7" s="5"/>
      <c r="D7" s="5"/>
      <c r="E7" s="3"/>
      <c r="F7" s="3"/>
      <c r="G7" s="6"/>
      <c r="I7" s="39" t="s">
        <v>6</v>
      </c>
      <c r="J7" s="38">
        <f t="shared" si="0"/>
        <v>0</v>
      </c>
    </row>
    <row r="8" spans="1:10" x14ac:dyDescent="0.25">
      <c r="A8" s="8"/>
      <c r="B8" s="4"/>
      <c r="C8" s="5"/>
      <c r="D8" s="5"/>
      <c r="E8" s="3"/>
      <c r="F8" s="3"/>
      <c r="G8" s="6"/>
      <c r="I8" s="39" t="s">
        <v>15</v>
      </c>
      <c r="J8" s="38">
        <f t="shared" si="0"/>
        <v>0</v>
      </c>
    </row>
    <row r="9" spans="1:10" x14ac:dyDescent="0.25">
      <c r="A9" s="8"/>
      <c r="B9" s="4"/>
      <c r="C9" s="5"/>
      <c r="D9" s="5"/>
      <c r="E9" s="3"/>
      <c r="F9" s="3"/>
      <c r="G9" s="6"/>
      <c r="I9" s="39" t="s">
        <v>3</v>
      </c>
      <c r="J9" s="38">
        <f t="shared" si="0"/>
        <v>0</v>
      </c>
    </row>
    <row r="10" spans="1:10" x14ac:dyDescent="0.25">
      <c r="A10" s="8"/>
      <c r="B10" s="4"/>
      <c r="C10" s="5"/>
      <c r="D10" s="5"/>
      <c r="E10" s="3"/>
      <c r="F10" s="3"/>
      <c r="G10" s="6"/>
      <c r="I10" s="39" t="s">
        <v>4</v>
      </c>
      <c r="J10" s="38">
        <f t="shared" si="0"/>
        <v>0</v>
      </c>
    </row>
    <row r="11" spans="1:10" x14ac:dyDescent="0.25">
      <c r="A11" s="8"/>
      <c r="B11" s="4"/>
      <c r="C11" s="5"/>
      <c r="D11" s="5"/>
      <c r="E11" s="3"/>
      <c r="F11" s="3"/>
      <c r="G11" s="6"/>
      <c r="I11" s="39" t="s">
        <v>84</v>
      </c>
      <c r="J11" s="38">
        <f t="shared" si="0"/>
        <v>0</v>
      </c>
    </row>
    <row r="12" spans="1:10" x14ac:dyDescent="0.25">
      <c r="A12" s="8"/>
      <c r="B12" s="4"/>
      <c r="C12" s="5"/>
      <c r="D12" s="5"/>
      <c r="E12" s="3"/>
      <c r="F12" s="3"/>
      <c r="G12" s="6"/>
      <c r="I12" s="39" t="s">
        <v>30</v>
      </c>
      <c r="J12" s="38">
        <f>SUMIF($D$2:$D$84,I12,$G$2:$G$84)-SUMIF($D$2:$D$84,I12,$F$2:$F$84)</f>
        <v>0</v>
      </c>
    </row>
    <row r="13" spans="1:10" x14ac:dyDescent="0.25">
      <c r="A13" s="8"/>
      <c r="B13" s="4"/>
      <c r="C13" s="5"/>
      <c r="D13" s="5"/>
      <c r="E13" s="3"/>
      <c r="F13" s="3"/>
      <c r="G13" s="6"/>
    </row>
    <row r="14" spans="1:10" x14ac:dyDescent="0.25">
      <c r="A14" s="8"/>
      <c r="B14" s="4"/>
      <c r="C14" s="5"/>
      <c r="D14" s="5"/>
      <c r="E14" s="3"/>
      <c r="F14" s="3"/>
      <c r="G14" s="6"/>
    </row>
    <row r="15" spans="1:10" x14ac:dyDescent="0.25">
      <c r="A15" s="8"/>
      <c r="B15" s="4"/>
      <c r="C15" s="5"/>
      <c r="D15" s="5"/>
      <c r="E15" s="3"/>
      <c r="F15" s="3"/>
      <c r="G15" s="6"/>
    </row>
    <row r="16" spans="1:10" x14ac:dyDescent="0.25">
      <c r="A16" s="8"/>
      <c r="B16" s="4"/>
      <c r="C16" s="5"/>
      <c r="D16" s="5"/>
      <c r="E16" s="3"/>
      <c r="F16" s="3"/>
      <c r="G16" s="6"/>
    </row>
    <row r="17" spans="1:7" x14ac:dyDescent="0.25">
      <c r="A17" s="8"/>
      <c r="B17" s="4"/>
      <c r="C17" s="5"/>
      <c r="D17" s="5"/>
      <c r="E17" s="3"/>
      <c r="F17" s="3"/>
      <c r="G17" s="6"/>
    </row>
    <row r="18" spans="1:7" x14ac:dyDescent="0.25">
      <c r="A18" s="8"/>
      <c r="B18" s="4"/>
      <c r="C18" s="5"/>
      <c r="D18" s="5"/>
      <c r="E18" s="3"/>
      <c r="F18" s="3"/>
      <c r="G18" s="6"/>
    </row>
    <row r="19" spans="1:7" x14ac:dyDescent="0.25">
      <c r="A19" s="8"/>
      <c r="B19" s="4"/>
      <c r="C19" s="5"/>
      <c r="D19" s="5"/>
      <c r="E19" s="3"/>
      <c r="F19" s="3"/>
      <c r="G19" s="6"/>
    </row>
    <row r="20" spans="1:7" x14ac:dyDescent="0.25">
      <c r="A20" s="8"/>
      <c r="B20" s="4"/>
      <c r="C20" s="5"/>
      <c r="D20" s="5"/>
      <c r="E20" s="3"/>
      <c r="F20" s="3"/>
      <c r="G20" s="6"/>
    </row>
    <row r="21" spans="1:7" x14ac:dyDescent="0.25">
      <c r="A21" s="8"/>
      <c r="B21" s="4"/>
      <c r="C21" s="5"/>
      <c r="D21" s="5"/>
      <c r="E21" s="3"/>
      <c r="F21" s="3"/>
      <c r="G21" s="6"/>
    </row>
    <row r="22" spans="1:7" x14ac:dyDescent="0.25">
      <c r="A22" s="8"/>
      <c r="B22" s="4"/>
      <c r="C22" s="5"/>
      <c r="D22" s="5"/>
      <c r="E22" s="3"/>
      <c r="F22" s="3"/>
      <c r="G22" s="6"/>
    </row>
    <row r="23" spans="1:7" x14ac:dyDescent="0.25">
      <c r="A23" s="8"/>
      <c r="B23" s="4"/>
      <c r="C23" s="5"/>
      <c r="D23" s="5"/>
      <c r="E23" s="3"/>
      <c r="F23" s="3"/>
      <c r="G23" s="6"/>
    </row>
    <row r="24" spans="1:7" x14ac:dyDescent="0.25">
      <c r="A24" s="8"/>
      <c r="B24" s="4"/>
      <c r="C24" s="5"/>
      <c r="D24" s="5"/>
      <c r="E24" s="3"/>
      <c r="F24" s="3"/>
      <c r="G24" s="6"/>
    </row>
    <row r="25" spans="1:7" x14ac:dyDescent="0.25">
      <c r="A25" s="8"/>
      <c r="B25" s="4"/>
      <c r="C25" s="5"/>
      <c r="D25" s="5"/>
      <c r="E25" s="3"/>
      <c r="F25" s="3"/>
      <c r="G25" s="6"/>
    </row>
    <row r="26" spans="1:7" x14ac:dyDescent="0.25">
      <c r="A26" s="8"/>
      <c r="B26" s="4"/>
      <c r="C26" s="5"/>
      <c r="D26" s="5"/>
      <c r="E26" s="3"/>
      <c r="F26" s="3"/>
      <c r="G26" s="6"/>
    </row>
    <row r="27" spans="1:7" x14ac:dyDescent="0.25">
      <c r="A27" s="8"/>
      <c r="B27" s="4"/>
      <c r="C27" s="5"/>
      <c r="D27" s="5"/>
      <c r="E27" s="3"/>
      <c r="F27" s="3"/>
      <c r="G27" s="6"/>
    </row>
    <row r="28" spans="1:7" x14ac:dyDescent="0.25">
      <c r="A28" s="8"/>
      <c r="B28" s="4"/>
      <c r="C28" s="5"/>
      <c r="D28" s="5"/>
      <c r="E28" s="3"/>
      <c r="F28" s="3"/>
      <c r="G28" s="9"/>
    </row>
    <row r="29" spans="1:7" x14ac:dyDescent="0.25">
      <c r="A29" s="8"/>
      <c r="B29" s="7"/>
      <c r="C29" s="5"/>
      <c r="D29" s="5"/>
      <c r="E29" s="3"/>
      <c r="F29" s="3"/>
      <c r="G29" s="6"/>
    </row>
    <row r="30" spans="1:7" x14ac:dyDescent="0.25">
      <c r="A30" s="8"/>
      <c r="B30" s="4"/>
      <c r="C30" s="5"/>
      <c r="D30" s="5"/>
      <c r="E30" s="3"/>
      <c r="F30" s="3"/>
      <c r="G30" s="6"/>
    </row>
    <row r="31" spans="1:7" x14ac:dyDescent="0.25">
      <c r="A31" s="8"/>
      <c r="B31" s="4"/>
      <c r="C31" s="5"/>
      <c r="D31" s="5"/>
      <c r="E31" s="3"/>
      <c r="F31" s="3"/>
      <c r="G31" s="6"/>
    </row>
    <row r="32" spans="1:7" x14ac:dyDescent="0.25">
      <c r="A32" s="8"/>
      <c r="B32" s="4"/>
      <c r="C32" s="5"/>
      <c r="D32" s="5"/>
      <c r="E32" s="3"/>
      <c r="F32" s="3"/>
      <c r="G32" s="6"/>
    </row>
    <row r="33" spans="1:7" x14ac:dyDescent="0.25">
      <c r="A33" s="8"/>
      <c r="B33" s="4"/>
      <c r="C33" s="5"/>
      <c r="D33" s="5"/>
      <c r="E33" s="3"/>
      <c r="F33" s="3"/>
      <c r="G33" s="6"/>
    </row>
    <row r="34" spans="1:7" x14ac:dyDescent="0.25">
      <c r="A34" s="8"/>
      <c r="B34" s="4"/>
      <c r="C34" s="5"/>
      <c r="D34" s="5"/>
      <c r="E34" s="3"/>
      <c r="F34" s="3"/>
      <c r="G34" s="6"/>
    </row>
    <row r="35" spans="1:7" x14ac:dyDescent="0.25">
      <c r="A35" s="8"/>
      <c r="B35" s="4"/>
      <c r="C35" s="5"/>
      <c r="D35" s="5"/>
      <c r="E35" s="3"/>
      <c r="F35" s="3"/>
      <c r="G35" s="6"/>
    </row>
    <row r="36" spans="1:7" x14ac:dyDescent="0.25">
      <c r="A36" s="8"/>
      <c r="B36" s="4"/>
      <c r="C36" s="5"/>
      <c r="D36" s="5"/>
      <c r="E36" s="3"/>
      <c r="F36" s="3"/>
      <c r="G36" s="6"/>
    </row>
    <row r="37" spans="1:7" x14ac:dyDescent="0.25">
      <c r="A37" s="8"/>
      <c r="B37" s="4"/>
      <c r="C37" s="5"/>
      <c r="D37" s="5"/>
      <c r="E37" s="3"/>
      <c r="F37" s="3"/>
      <c r="G37" s="6"/>
    </row>
    <row r="38" spans="1:7" x14ac:dyDescent="0.25">
      <c r="A38" s="8"/>
      <c r="B38" s="4"/>
      <c r="C38" s="5"/>
      <c r="D38" s="5"/>
      <c r="E38" s="3"/>
      <c r="F38" s="3"/>
      <c r="G38" s="6"/>
    </row>
    <row r="39" spans="1:7" x14ac:dyDescent="0.25">
      <c r="A39" s="8"/>
      <c r="B39" s="4"/>
      <c r="C39" s="5"/>
      <c r="D39" s="5"/>
      <c r="E39" s="3"/>
      <c r="F39" s="3"/>
      <c r="G39" s="6"/>
    </row>
    <row r="40" spans="1:7" x14ac:dyDescent="0.25">
      <c r="A40" s="8"/>
      <c r="B40" s="4"/>
      <c r="C40" s="5"/>
      <c r="D40" s="5"/>
      <c r="E40" s="3"/>
      <c r="F40" s="3"/>
      <c r="G40" s="6"/>
    </row>
    <row r="41" spans="1:7" x14ac:dyDescent="0.25">
      <c r="A41" s="8"/>
      <c r="B41" s="4"/>
      <c r="C41" s="5"/>
      <c r="D41" s="5"/>
      <c r="E41" s="3"/>
      <c r="F41" s="3"/>
      <c r="G41" s="6"/>
    </row>
    <row r="42" spans="1:7" x14ac:dyDescent="0.25">
      <c r="A42" s="8"/>
      <c r="B42" s="4"/>
      <c r="C42" s="5"/>
      <c r="D42" s="5"/>
      <c r="E42" s="3"/>
      <c r="F42" s="3"/>
      <c r="G42" s="6"/>
    </row>
    <row r="43" spans="1:7" x14ac:dyDescent="0.25">
      <c r="A43" s="8"/>
      <c r="B43" s="4"/>
      <c r="C43" s="5"/>
      <c r="D43" s="5"/>
      <c r="E43" s="3"/>
      <c r="F43" s="3"/>
      <c r="G43" s="6"/>
    </row>
    <row r="44" spans="1:7" x14ac:dyDescent="0.25">
      <c r="A44" s="8"/>
      <c r="B44" s="4"/>
      <c r="C44" s="5"/>
      <c r="D44" s="5"/>
      <c r="E44" s="3"/>
      <c r="F44" s="3"/>
      <c r="G44" s="6"/>
    </row>
    <row r="45" spans="1:7" x14ac:dyDescent="0.25">
      <c r="A45" s="8"/>
      <c r="B45" s="4"/>
      <c r="C45" s="5"/>
      <c r="D45" s="5"/>
      <c r="E45" s="3"/>
      <c r="F45" s="3"/>
      <c r="G45" s="6"/>
    </row>
    <row r="46" spans="1:7" x14ac:dyDescent="0.25">
      <c r="A46" s="8"/>
      <c r="B46" s="4"/>
      <c r="C46" s="5"/>
      <c r="D46" s="5"/>
      <c r="E46" s="3"/>
      <c r="F46" s="3"/>
      <c r="G46" s="6"/>
    </row>
    <row r="47" spans="1:7" x14ac:dyDescent="0.25">
      <c r="A47" s="8"/>
      <c r="B47" s="4"/>
      <c r="C47" s="5"/>
      <c r="D47" s="5"/>
      <c r="E47" s="3"/>
      <c r="F47" s="3"/>
      <c r="G47" s="6"/>
    </row>
    <row r="48" spans="1:7" x14ac:dyDescent="0.25">
      <c r="A48" s="8"/>
      <c r="B48" s="4"/>
      <c r="C48" s="5"/>
      <c r="D48" s="5"/>
      <c r="E48" s="3"/>
      <c r="F48" s="3"/>
      <c r="G48" s="6"/>
    </row>
    <row r="49" spans="1:7" x14ac:dyDescent="0.25">
      <c r="A49" s="8"/>
      <c r="B49" s="4"/>
      <c r="C49" s="5"/>
      <c r="D49" s="5"/>
      <c r="E49" s="3"/>
      <c r="F49" s="3"/>
      <c r="G49" s="6"/>
    </row>
    <row r="50" spans="1:7" x14ac:dyDescent="0.25">
      <c r="A50" s="8"/>
      <c r="B50" s="4"/>
      <c r="C50" s="5"/>
      <c r="D50" s="5"/>
      <c r="E50" s="3"/>
      <c r="F50" s="3"/>
      <c r="G50" s="6"/>
    </row>
    <row r="51" spans="1:7" x14ac:dyDescent="0.25">
      <c r="A51" s="8"/>
      <c r="B51" s="4"/>
      <c r="C51" s="5"/>
      <c r="D51" s="5"/>
      <c r="E51" s="3"/>
      <c r="F51" s="3"/>
      <c r="G51" s="6"/>
    </row>
    <row r="52" spans="1:7" x14ac:dyDescent="0.25">
      <c r="A52" s="8"/>
      <c r="B52" s="4"/>
      <c r="C52" s="5"/>
      <c r="D52" s="5"/>
      <c r="E52" s="3"/>
      <c r="F52" s="3"/>
      <c r="G52" s="6"/>
    </row>
    <row r="53" spans="1:7" x14ac:dyDescent="0.25">
      <c r="A53" s="8"/>
      <c r="B53" s="4"/>
      <c r="C53" s="5"/>
      <c r="D53" s="5"/>
      <c r="E53" s="3"/>
      <c r="F53" s="3"/>
      <c r="G53" s="6"/>
    </row>
    <row r="54" spans="1:7" x14ac:dyDescent="0.25">
      <c r="A54" s="8"/>
      <c r="B54" s="4"/>
      <c r="C54" s="5"/>
      <c r="D54" s="5"/>
      <c r="E54" s="3"/>
      <c r="F54" s="3"/>
      <c r="G54" s="6"/>
    </row>
    <row r="55" spans="1:7" x14ac:dyDescent="0.25">
      <c r="A55" s="8"/>
      <c r="B55" s="4"/>
      <c r="C55" s="5"/>
      <c r="D55" s="5"/>
      <c r="E55" s="3"/>
      <c r="F55" s="3"/>
      <c r="G55" s="6"/>
    </row>
    <row r="56" spans="1:7" x14ac:dyDescent="0.25">
      <c r="A56" s="8"/>
      <c r="B56" s="4"/>
      <c r="C56" s="5"/>
      <c r="D56" s="5"/>
      <c r="E56" s="3"/>
      <c r="F56" s="3"/>
      <c r="G56" s="6"/>
    </row>
    <row r="57" spans="1:7" x14ac:dyDescent="0.25">
      <c r="A57" s="8"/>
      <c r="B57" s="4"/>
      <c r="C57" s="5"/>
      <c r="D57" s="5"/>
      <c r="E57" s="3"/>
      <c r="F57" s="3"/>
      <c r="G57" s="6"/>
    </row>
    <row r="58" spans="1:7" x14ac:dyDescent="0.25">
      <c r="A58" s="8"/>
      <c r="B58" s="4"/>
      <c r="C58" s="5"/>
      <c r="D58" s="5"/>
      <c r="E58" s="3"/>
      <c r="F58" s="3"/>
      <c r="G58" s="6"/>
    </row>
    <row r="59" spans="1:7" x14ac:dyDescent="0.25">
      <c r="A59" s="8"/>
      <c r="B59" s="4"/>
      <c r="C59" s="5"/>
      <c r="D59" s="5"/>
      <c r="E59" s="3"/>
      <c r="F59" s="3"/>
      <c r="G59" s="6"/>
    </row>
    <row r="60" spans="1:7" x14ac:dyDescent="0.25">
      <c r="A60" s="8"/>
      <c r="B60" s="4"/>
      <c r="C60" s="5"/>
      <c r="D60" s="5"/>
      <c r="E60" s="3"/>
      <c r="F60" s="3"/>
      <c r="G60" s="6"/>
    </row>
    <row r="61" spans="1:7" x14ac:dyDescent="0.25">
      <c r="A61" s="8"/>
      <c r="B61" s="4"/>
      <c r="C61" s="5"/>
      <c r="D61" s="5"/>
      <c r="E61" s="3"/>
      <c r="F61" s="3"/>
      <c r="G61" s="6"/>
    </row>
    <row r="62" spans="1:7" x14ac:dyDescent="0.25">
      <c r="A62" s="8"/>
      <c r="B62" s="4"/>
      <c r="C62" s="5"/>
      <c r="D62" s="5"/>
      <c r="E62" s="3"/>
      <c r="F62" s="3"/>
      <c r="G62" s="6"/>
    </row>
    <row r="63" spans="1:7" x14ac:dyDescent="0.25">
      <c r="A63" s="8"/>
      <c r="B63" s="4"/>
      <c r="C63" s="5"/>
      <c r="D63" s="5"/>
      <c r="E63" s="3"/>
      <c r="F63" s="3"/>
      <c r="G63" s="6"/>
    </row>
    <row r="64" spans="1:7" x14ac:dyDescent="0.25">
      <c r="A64" s="8"/>
      <c r="B64" s="4"/>
      <c r="C64" s="5"/>
      <c r="D64" s="5"/>
      <c r="E64" s="3"/>
      <c r="F64" s="3"/>
      <c r="G64" s="6"/>
    </row>
    <row r="65" spans="1:7" x14ac:dyDescent="0.25">
      <c r="A65" s="8"/>
      <c r="B65" s="4"/>
      <c r="C65" s="5"/>
      <c r="D65" s="5"/>
      <c r="E65" s="3"/>
      <c r="F65" s="3"/>
      <c r="G65" s="6"/>
    </row>
    <row r="66" spans="1:7" x14ac:dyDescent="0.25">
      <c r="A66" s="8"/>
      <c r="B66" s="4"/>
      <c r="C66" s="5"/>
      <c r="D66" s="5"/>
      <c r="E66" s="3"/>
      <c r="F66" s="3"/>
      <c r="G66" s="6"/>
    </row>
    <row r="67" spans="1:7" x14ac:dyDescent="0.25">
      <c r="A67" s="8"/>
      <c r="B67" s="4"/>
      <c r="C67" s="5"/>
      <c r="D67" s="5"/>
      <c r="E67" s="3"/>
      <c r="F67" s="3"/>
      <c r="G67" s="6"/>
    </row>
    <row r="68" spans="1:7" x14ac:dyDescent="0.25">
      <c r="A68" s="8"/>
      <c r="B68" s="4"/>
      <c r="C68" s="5"/>
      <c r="D68" s="5"/>
      <c r="E68" s="3"/>
      <c r="F68" s="3"/>
      <c r="G68" s="6"/>
    </row>
    <row r="69" spans="1:7" x14ac:dyDescent="0.25">
      <c r="A69" s="8"/>
      <c r="B69" s="4"/>
      <c r="C69" s="5"/>
      <c r="D69" s="5"/>
      <c r="E69" s="3"/>
      <c r="F69" s="3"/>
      <c r="G69" s="6"/>
    </row>
    <row r="70" spans="1:7" x14ac:dyDescent="0.25">
      <c r="A70" s="8"/>
      <c r="B70" s="4"/>
      <c r="C70" s="5"/>
      <c r="D70" s="5"/>
      <c r="E70" s="3"/>
      <c r="F70" s="3"/>
      <c r="G70" s="6"/>
    </row>
    <row r="71" spans="1:7" x14ac:dyDescent="0.25">
      <c r="A71" s="8"/>
      <c r="B71" s="4"/>
      <c r="C71" s="5"/>
      <c r="D71" s="5"/>
      <c r="E71" s="3"/>
      <c r="F71" s="3"/>
      <c r="G71" s="6"/>
    </row>
    <row r="72" spans="1:7" x14ac:dyDescent="0.25">
      <c r="A72" s="8"/>
      <c r="B72" s="4"/>
      <c r="C72" s="5"/>
      <c r="D72" s="5"/>
      <c r="E72" s="3"/>
      <c r="F72" s="3"/>
      <c r="G72" s="6"/>
    </row>
    <row r="73" spans="1:7" x14ac:dyDescent="0.25">
      <c r="A73" s="8"/>
      <c r="B73" s="4"/>
      <c r="C73" s="5"/>
      <c r="D73" s="5"/>
      <c r="E73" s="3"/>
      <c r="F73" s="3"/>
      <c r="G73" s="6"/>
    </row>
    <row r="74" spans="1:7" x14ac:dyDescent="0.25">
      <c r="A74" s="8"/>
      <c r="B74" s="4"/>
      <c r="C74" s="5"/>
      <c r="D74" s="5"/>
      <c r="E74" s="3"/>
      <c r="F74" s="3"/>
      <c r="G74" s="6"/>
    </row>
    <row r="75" spans="1:7" x14ac:dyDescent="0.25">
      <c r="A75" s="8"/>
      <c r="B75" s="4"/>
      <c r="C75" s="5"/>
      <c r="D75" s="5"/>
      <c r="E75" s="3"/>
      <c r="F75" s="3"/>
      <c r="G75" s="6"/>
    </row>
    <row r="76" spans="1:7" x14ac:dyDescent="0.25">
      <c r="A76" s="8"/>
      <c r="B76" s="4"/>
      <c r="C76" s="5"/>
      <c r="D76" s="5"/>
      <c r="E76" s="3"/>
      <c r="F76" s="3"/>
      <c r="G76" s="6"/>
    </row>
    <row r="77" spans="1:7" x14ac:dyDescent="0.25">
      <c r="A77" s="8"/>
      <c r="B77" s="4"/>
      <c r="C77" s="5"/>
      <c r="D77" s="5"/>
      <c r="E77" s="3"/>
      <c r="F77" s="3"/>
      <c r="G77" s="6"/>
    </row>
    <row r="78" spans="1:7" x14ac:dyDescent="0.25">
      <c r="A78" s="8"/>
      <c r="B78" s="4"/>
      <c r="C78" s="5"/>
      <c r="D78" s="5"/>
      <c r="E78" s="3"/>
      <c r="F78" s="3"/>
      <c r="G78" s="6"/>
    </row>
    <row r="79" spans="1:7" x14ac:dyDescent="0.25">
      <c r="A79" s="8"/>
      <c r="B79" s="4"/>
      <c r="C79" s="5"/>
      <c r="D79" s="5"/>
      <c r="E79" s="3"/>
      <c r="F79" s="3"/>
      <c r="G79" s="6"/>
    </row>
    <row r="80" spans="1:7" x14ac:dyDescent="0.25">
      <c r="A80" s="8"/>
      <c r="B80" s="4"/>
      <c r="C80" s="5"/>
      <c r="D80" s="5"/>
      <c r="E80" s="3"/>
      <c r="F80" s="3"/>
      <c r="G80" s="6"/>
    </row>
    <row r="81" spans="1:7" x14ac:dyDescent="0.25">
      <c r="A81" s="8"/>
      <c r="B81" s="4"/>
      <c r="C81" s="5"/>
      <c r="D81" s="5"/>
      <c r="E81" s="3"/>
      <c r="F81" s="3"/>
      <c r="G81" s="6"/>
    </row>
    <row r="82" spans="1:7" x14ac:dyDescent="0.25">
      <c r="A82" s="8"/>
      <c r="B82" s="4"/>
      <c r="C82" s="5"/>
      <c r="D82" s="5"/>
      <c r="E82" s="3"/>
      <c r="F82" s="3"/>
      <c r="G82" s="6"/>
    </row>
    <row r="83" spans="1:7" x14ac:dyDescent="0.25">
      <c r="A83" s="8"/>
      <c r="B83" s="4"/>
      <c r="C83" s="5"/>
      <c r="D83" s="5"/>
      <c r="E83" s="3"/>
      <c r="F83" s="3"/>
      <c r="G83" s="6"/>
    </row>
    <row r="84" spans="1:7" x14ac:dyDescent="0.25">
      <c r="A84" s="8"/>
      <c r="B84" s="4"/>
      <c r="C84" s="5"/>
      <c r="D84" s="5"/>
      <c r="E84" s="3"/>
      <c r="F84" s="3"/>
      <c r="G84" s="6"/>
    </row>
    <row r="85" spans="1:7" x14ac:dyDescent="0.25">
      <c r="A85" s="20"/>
      <c r="B85" s="4"/>
      <c r="C85" s="5"/>
      <c r="D85" s="5"/>
      <c r="E85" s="3"/>
      <c r="F85" s="3"/>
      <c r="G85" s="6"/>
    </row>
    <row r="86" spans="1:7" x14ac:dyDescent="0.25">
      <c r="A86" s="20"/>
      <c r="B86" s="4"/>
      <c r="C86" s="5"/>
      <c r="D86" s="5"/>
      <c r="E86" s="3"/>
      <c r="F86" s="3"/>
      <c r="G86" s="6"/>
    </row>
    <row r="87" spans="1:7" x14ac:dyDescent="0.25">
      <c r="A87" s="20"/>
      <c r="B87" s="4"/>
      <c r="C87" s="5"/>
      <c r="D87" s="5"/>
      <c r="E87" s="3"/>
      <c r="F87" s="3"/>
      <c r="G87" s="6"/>
    </row>
    <row r="88" spans="1:7" x14ac:dyDescent="0.25">
      <c r="A88" s="20"/>
      <c r="B88" s="4"/>
      <c r="C88" s="5"/>
      <c r="D88" s="5"/>
      <c r="E88" s="3"/>
      <c r="F88" s="3"/>
      <c r="G88" s="6"/>
    </row>
    <row r="89" spans="1:7" x14ac:dyDescent="0.25">
      <c r="A89" s="20"/>
      <c r="B89" s="4"/>
      <c r="C89" s="5"/>
      <c r="D89" s="5"/>
      <c r="E89" s="3"/>
      <c r="F89" s="3"/>
      <c r="G89" s="6"/>
    </row>
    <row r="90" spans="1:7" x14ac:dyDescent="0.25">
      <c r="A90" s="20"/>
      <c r="B90" s="4"/>
      <c r="C90" s="5"/>
      <c r="D90" s="5"/>
      <c r="E90" s="3"/>
      <c r="F90" s="3"/>
      <c r="G90" s="6"/>
    </row>
    <row r="91" spans="1:7" x14ac:dyDescent="0.25">
      <c r="A91" s="20"/>
      <c r="B91" s="4"/>
      <c r="C91" s="5"/>
      <c r="D91" s="5"/>
      <c r="E91" s="3"/>
      <c r="F91" s="3"/>
      <c r="G91" s="6"/>
    </row>
    <row r="92" spans="1:7" x14ac:dyDescent="0.25">
      <c r="A92" s="20"/>
      <c r="B92" s="4"/>
      <c r="C92" s="5"/>
      <c r="D92" s="5"/>
      <c r="E92" s="3"/>
      <c r="F92" s="3"/>
      <c r="G92" s="6"/>
    </row>
    <row r="93" spans="1:7" x14ac:dyDescent="0.25">
      <c r="A93" s="20"/>
      <c r="B93" s="4"/>
      <c r="C93" s="5"/>
      <c r="D93" s="5"/>
      <c r="E93" s="3"/>
      <c r="F93" s="3"/>
      <c r="G93" s="6"/>
    </row>
    <row r="94" spans="1:7" x14ac:dyDescent="0.25">
      <c r="A94" s="20"/>
      <c r="B94" s="4"/>
      <c r="C94" s="5"/>
      <c r="D94" s="5"/>
      <c r="E94" s="3"/>
      <c r="F94" s="3"/>
      <c r="G94" s="6"/>
    </row>
    <row r="95" spans="1:7" x14ac:dyDescent="0.25">
      <c r="A95" s="20"/>
      <c r="B95" s="4"/>
      <c r="C95" s="5"/>
      <c r="D95" s="5"/>
      <c r="E95" s="3"/>
      <c r="F95" s="3"/>
      <c r="G95" s="6"/>
    </row>
    <row r="96" spans="1:7" x14ac:dyDescent="0.25">
      <c r="A96" s="20"/>
      <c r="B96" s="4"/>
      <c r="C96" s="5"/>
      <c r="D96" s="5"/>
      <c r="E96" s="3"/>
      <c r="F96" s="3"/>
      <c r="G96" s="6"/>
    </row>
    <row r="97" spans="1:7" x14ac:dyDescent="0.25">
      <c r="A97" s="20"/>
      <c r="B97" s="4"/>
      <c r="C97" s="5"/>
      <c r="D97" s="5"/>
      <c r="E97" s="3"/>
      <c r="F97" s="3"/>
      <c r="G97" s="6"/>
    </row>
    <row r="98" spans="1:7" x14ac:dyDescent="0.25">
      <c r="A98" s="20"/>
      <c r="B98" s="4"/>
      <c r="C98" s="5"/>
      <c r="D98" s="5"/>
      <c r="E98" s="3"/>
      <c r="F98" s="3"/>
      <c r="G98" s="6"/>
    </row>
    <row r="99" spans="1:7" x14ac:dyDescent="0.25">
      <c r="A99" s="20"/>
      <c r="B99" s="4"/>
      <c r="C99" s="5"/>
      <c r="D99" s="5"/>
      <c r="E99" s="3"/>
      <c r="F99" s="3"/>
      <c r="G99" s="6"/>
    </row>
    <row r="100" spans="1:7" x14ac:dyDescent="0.25">
      <c r="A100" s="20"/>
      <c r="B100" s="4"/>
      <c r="C100" s="5"/>
      <c r="D100" s="5"/>
      <c r="E100" s="3"/>
      <c r="F100" s="3"/>
      <c r="G100" s="6"/>
    </row>
    <row r="101" spans="1:7" x14ac:dyDescent="0.25">
      <c r="A101" s="20"/>
      <c r="B101" s="4"/>
      <c r="C101" s="5"/>
      <c r="D101" s="5"/>
      <c r="E101" s="3"/>
      <c r="F101" s="3"/>
      <c r="G101" s="6"/>
    </row>
    <row r="102" spans="1:7" x14ac:dyDescent="0.25">
      <c r="A102" s="42" t="s">
        <v>21</v>
      </c>
      <c r="B102" s="43"/>
      <c r="C102" s="2"/>
      <c r="D102" s="2"/>
      <c r="E102" s="38">
        <f>SUM(E2:E91)</f>
        <v>0</v>
      </c>
      <c r="F102" s="38">
        <f>SUM(F2:F84)</f>
        <v>0</v>
      </c>
      <c r="G102" s="44">
        <f>SUM(G5:G84)</f>
        <v>0</v>
      </c>
    </row>
    <row r="103" spans="1:7" x14ac:dyDescent="0.25">
      <c r="A103" s="45" t="s">
        <v>17</v>
      </c>
      <c r="B103" s="46"/>
      <c r="C103" s="51">
        <f>SUMIF(B2:B84,"Capitol One",F2:F84)</f>
        <v>0</v>
      </c>
      <c r="D103" s="2"/>
      <c r="E103" s="2"/>
      <c r="F103" s="2"/>
      <c r="G103" s="9"/>
    </row>
    <row r="104" spans="1:7" x14ac:dyDescent="0.25">
      <c r="A104" s="42" t="s">
        <v>18</v>
      </c>
      <c r="B104" s="43"/>
      <c r="C104" s="38">
        <f>SUMIF(B2:B100,"Sam's Club",F2:F100)</f>
        <v>0</v>
      </c>
      <c r="D104" s="2"/>
      <c r="E104" s="2"/>
      <c r="F104" s="2"/>
      <c r="G104" s="9"/>
    </row>
    <row r="105" spans="1:7" x14ac:dyDescent="0.25">
      <c r="A105" s="42" t="s">
        <v>90</v>
      </c>
      <c r="B105" s="43"/>
      <c r="C105" s="51">
        <f>SUMIF(B2:B84,"Discover",F2:F84)</f>
        <v>0</v>
      </c>
      <c r="D105" s="17"/>
      <c r="E105" s="17"/>
      <c r="F105" s="17"/>
      <c r="G105" s="13"/>
    </row>
    <row r="106" spans="1:7" x14ac:dyDescent="0.25">
      <c r="A106" s="42" t="s">
        <v>91</v>
      </c>
      <c r="B106" s="43"/>
      <c r="C106" s="38">
        <f>SUMIF($B2:B84,"Discover",$E2:E84)+SUMIF($B2:B84,"Discover",$G2:G84)-C105</f>
        <v>0</v>
      </c>
      <c r="D106" s="2"/>
      <c r="E106" s="2"/>
      <c r="F106" s="2"/>
      <c r="G106" s="9"/>
    </row>
    <row r="107" spans="1:7" x14ac:dyDescent="0.25">
      <c r="A107" s="45" t="s">
        <v>19</v>
      </c>
      <c r="B107" s="46"/>
      <c r="C107" s="38">
        <f>SUMIF($B2:B84,"Capitol One",$E2:E84)+SUMIF($B2:B84,"Capitol One",$G2:G84)-C103</f>
        <v>0</v>
      </c>
      <c r="D107" s="2"/>
      <c r="E107" s="2"/>
      <c r="F107" s="2"/>
      <c r="G107" s="9"/>
    </row>
    <row r="108" spans="1:7" ht="15.75" thickBot="1" x14ac:dyDescent="0.3">
      <c r="A108" s="47" t="s">
        <v>20</v>
      </c>
      <c r="B108" s="48"/>
      <c r="C108" s="49">
        <f>SUMIF($B2:B100,"Sam's Club",$E2:E100)+SUMIF($B2:B84,"Sam's Club",$G2:G100)-C104</f>
        <v>0</v>
      </c>
      <c r="D108" s="10"/>
      <c r="E108" s="10"/>
      <c r="F108" s="10"/>
      <c r="G108" s="11"/>
    </row>
  </sheetData>
  <autoFilter ref="A1:G1" xr:uid="{55C6C991-3FFE-4866-967D-4139DF94C020}">
    <sortState xmlns:xlrd2="http://schemas.microsoft.com/office/spreadsheetml/2017/richdata2" ref="A2:G100">
      <sortCondition ref="B1"/>
    </sortState>
  </autoFilter>
  <dataConsolidate/>
  <mergeCells count="7">
    <mergeCell ref="A108:B108"/>
    <mergeCell ref="A102:B102"/>
    <mergeCell ref="A103:B103"/>
    <mergeCell ref="A104:B104"/>
    <mergeCell ref="A105:B105"/>
    <mergeCell ref="A106:B106"/>
    <mergeCell ref="A107:B107"/>
  </mergeCells>
  <dataValidations count="17">
    <dataValidation type="list" allowBlank="1" showInputMessage="1" showErrorMessage="1" sqref="B2:B101" xr:uid="{74F57FEF-66D1-4E5F-A551-CD866BBD1B35}">
      <formula1>CCUsed</formula1>
    </dataValidation>
    <dataValidation type="list" allowBlank="1" showInputMessage="1" showErrorMessage="1" sqref="D2:D101" xr:uid="{941151CB-3C61-4836-AE5D-42D58A0F4AE0}">
      <formula1>ItemsDescription</formula1>
    </dataValidation>
    <dataValidation type="list" allowBlank="1" showInputMessage="1" showErrorMessage="1" sqref="C2:C101" xr:uid="{F7D44B79-9D2D-4A66-A0E1-BE4905A5377A}">
      <formula1>StoresDescription</formula1>
    </dataValidation>
    <dataValidation type="date" allowBlank="1" showInputMessage="1" showErrorMessage="1" sqref="A28:A29" xr:uid="{A4CE011C-BE89-4E9A-9FFB-337D1883B439}">
      <formula1>A28</formula1>
      <formula2>A126</formula2>
    </dataValidation>
    <dataValidation type="date" allowBlank="1" showInputMessage="1" showErrorMessage="1" sqref="A30:A42" xr:uid="{665CDC56-DA0C-4E84-BB17-986A1EB37B53}">
      <formula1>A30</formula1>
      <formula2>A127</formula2>
    </dataValidation>
    <dataValidation type="date" allowBlank="1" showInputMessage="1" showErrorMessage="1" sqref="A43:A59" xr:uid="{E83CEFE6-E2C7-46D2-BCA5-41D715CC1C81}">
      <formula1>A43</formula1>
      <formula2>A132</formula2>
    </dataValidation>
    <dataValidation type="date" allowBlank="1" showInputMessage="1" showErrorMessage="1" sqref="A2:A21" xr:uid="{58730747-4829-40BB-8B84-E828BD282061}">
      <formula1>A2</formula1>
      <formula2>A105</formula2>
    </dataValidation>
    <dataValidation type="date" allowBlank="1" showInputMessage="1" showErrorMessage="1" sqref="A22:A27" xr:uid="{23C97964-A4FC-45CE-BE68-DDBD5ED7E11F}">
      <formula1>A22</formula1>
      <formula2>A126</formula2>
    </dataValidation>
    <dataValidation type="date" allowBlank="1" showInputMessage="1" showErrorMessage="1" sqref="A60:A65" xr:uid="{12DA7F64-76A2-4121-86F0-9419F745B50D}">
      <formula1>A60</formula1>
      <formula2>A128</formula2>
    </dataValidation>
    <dataValidation type="date" allowBlank="1" showInputMessage="1" showErrorMessage="1" sqref="A66:A74" xr:uid="{C09E9396-B2D8-4D39-AB40-9DD3AF753463}">
      <formula1>A66</formula1>
      <formula2>A130</formula2>
    </dataValidation>
    <dataValidation type="date" allowBlank="1" showInputMessage="1" showErrorMessage="1" sqref="A75:A83" xr:uid="{1B362FBB-3938-4595-BD65-C9A3766A8BAB}">
      <formula1>A75</formula1>
      <formula2>A131</formula2>
    </dataValidation>
    <dataValidation type="date" allowBlank="1" showInputMessage="1" showErrorMessage="1" sqref="A101" xr:uid="{BC0AA717-B340-4C1C-9891-645836D6D8A0}">
      <formula1>A101</formula1>
      <formula2>A139</formula2>
    </dataValidation>
    <dataValidation type="date" allowBlank="1" showInputMessage="1" showErrorMessage="1" sqref="A84:A96" xr:uid="{CCE07BC4-E506-4B01-8977-E9D8B39F5651}">
      <formula1>A84</formula1>
      <formula2>A138</formula2>
    </dataValidation>
    <dataValidation type="date" allowBlank="1" showInputMessage="1" showErrorMessage="1" sqref="A100" xr:uid="{56B5AB3C-66C5-4926-8BCC-8B5D87D1321A}">
      <formula1>A100</formula1>
      <formula2>A140</formula2>
    </dataValidation>
    <dataValidation type="date" allowBlank="1" showInputMessage="1" showErrorMessage="1" sqref="A99" xr:uid="{2B417CD0-4790-44FA-AA62-05ED461688DE}">
      <formula1>A99</formula1>
      <formula2>A140</formula2>
    </dataValidation>
    <dataValidation type="date" allowBlank="1" showInputMessage="1" showErrorMessage="1" sqref="A98" xr:uid="{05E57B19-AA89-4A49-8181-E8877A3F875D}">
      <formula1>A98</formula1>
      <formula2>A141</formula2>
    </dataValidation>
    <dataValidation type="date" allowBlank="1" showInputMessage="1" showErrorMessage="1" sqref="A97" xr:uid="{2A02F5B4-79F8-4E67-AE6C-2F796E36C7BF}">
      <formula1>A97</formula1>
      <formula2>A141</formula2>
    </dataValidation>
  </dataValidations>
  <pageMargins left="0.7" right="0.7" top="0.75" bottom="0.75" header="0.3" footer="0.3"/>
  <pageSetup scale="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4D99-3C8B-443E-93F1-42FA1BB476C0}">
  <sheetPr codeName="Sheet6"/>
  <dimension ref="A1:J99"/>
  <sheetViews>
    <sheetView zoomScale="115" zoomScaleNormal="115" zoomScaleSheetLayoutView="62" workbookViewId="0">
      <pane ySplit="1" topLeftCell="A74" activePane="bottomLeft" state="frozen"/>
      <selection activeCell="C4" sqref="C4"/>
      <selection pane="bottomLeft" activeCell="I90" sqref="I90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4.5703125" bestFit="1" customWidth="1"/>
    <col min="4" max="4" width="20.140625" bestFit="1" customWidth="1"/>
    <col min="5" max="5" width="11.140625" bestFit="1" customWidth="1"/>
    <col min="6" max="6" width="10.5703125" bestFit="1" customWidth="1"/>
    <col min="7" max="7" width="8.7109375" bestFit="1" customWidth="1"/>
    <col min="8" max="8" width="24.140625" customWidth="1"/>
    <col min="9" max="9" width="20.28515625" bestFit="1" customWidth="1"/>
    <col min="10" max="10" width="11.140625" bestFit="1" customWidth="1"/>
  </cols>
  <sheetData>
    <row r="1" spans="1:10" x14ac:dyDescent="0.25">
      <c r="A1" s="31" t="s">
        <v>0</v>
      </c>
      <c r="B1" s="32" t="s">
        <v>24</v>
      </c>
      <c r="C1" s="33" t="s">
        <v>1</v>
      </c>
      <c r="D1" s="33" t="s">
        <v>2</v>
      </c>
      <c r="E1" s="33" t="s">
        <v>25</v>
      </c>
      <c r="F1" s="33" t="s">
        <v>26</v>
      </c>
      <c r="G1" s="34" t="s">
        <v>30</v>
      </c>
    </row>
    <row r="2" spans="1:10" x14ac:dyDescent="0.25">
      <c r="A2" s="35">
        <v>45792</v>
      </c>
      <c r="B2" s="36" t="s">
        <v>23</v>
      </c>
      <c r="C2" s="37" t="s">
        <v>12</v>
      </c>
      <c r="D2" s="37" t="s">
        <v>3</v>
      </c>
      <c r="E2" s="38">
        <v>5.44</v>
      </c>
      <c r="F2" s="3"/>
      <c r="G2" s="6"/>
    </row>
    <row r="3" spans="1:10" x14ac:dyDescent="0.25">
      <c r="A3" s="35">
        <v>45792</v>
      </c>
      <c r="B3" s="36" t="s">
        <v>23</v>
      </c>
      <c r="C3" s="37" t="s">
        <v>62</v>
      </c>
      <c r="D3" s="37" t="s">
        <v>84</v>
      </c>
      <c r="E3" s="40">
        <v>160</v>
      </c>
      <c r="F3" s="3"/>
      <c r="G3" s="6"/>
    </row>
    <row r="4" spans="1:10" x14ac:dyDescent="0.25">
      <c r="A4" s="35">
        <v>45793</v>
      </c>
      <c r="B4" s="36" t="s">
        <v>23</v>
      </c>
      <c r="C4" s="37" t="s">
        <v>12</v>
      </c>
      <c r="D4" s="37" t="s">
        <v>3</v>
      </c>
      <c r="E4" s="38">
        <v>1.6</v>
      </c>
      <c r="F4" s="3"/>
      <c r="G4" s="6"/>
      <c r="I4" s="39" t="s">
        <v>81</v>
      </c>
      <c r="J4" s="38">
        <f t="shared" ref="J4:J10" si="0">SUMIF($D$2:$D$95,I4,$E$2:$E$95)-SUMIF($D$2:$D$95,I4,$F$2:$F$95)</f>
        <v>419</v>
      </c>
    </row>
    <row r="5" spans="1:10" x14ac:dyDescent="0.25">
      <c r="A5" s="35">
        <v>45793</v>
      </c>
      <c r="B5" s="36" t="s">
        <v>23</v>
      </c>
      <c r="C5" s="37" t="s">
        <v>47</v>
      </c>
      <c r="D5" s="37" t="s">
        <v>4</v>
      </c>
      <c r="E5" s="40">
        <v>152.16</v>
      </c>
      <c r="F5" s="3"/>
      <c r="G5" s="6"/>
      <c r="I5" s="39" t="s">
        <v>5</v>
      </c>
      <c r="J5" s="38">
        <f t="shared" si="0"/>
        <v>274.94</v>
      </c>
    </row>
    <row r="6" spans="1:10" x14ac:dyDescent="0.25">
      <c r="A6" s="35">
        <v>45794</v>
      </c>
      <c r="B6" s="36" t="s">
        <v>23</v>
      </c>
      <c r="C6" s="37" t="s">
        <v>12</v>
      </c>
      <c r="D6" s="37" t="s">
        <v>3</v>
      </c>
      <c r="E6" s="38">
        <v>29.8</v>
      </c>
      <c r="F6" s="38">
        <v>8.83</v>
      </c>
      <c r="G6" s="6"/>
      <c r="I6" s="39" t="s">
        <v>6</v>
      </c>
      <c r="J6" s="38">
        <f t="shared" si="0"/>
        <v>419.89</v>
      </c>
    </row>
    <row r="7" spans="1:10" x14ac:dyDescent="0.25">
      <c r="A7" s="35">
        <v>45794</v>
      </c>
      <c r="B7" s="36" t="s">
        <v>23</v>
      </c>
      <c r="C7" s="37" t="s">
        <v>38</v>
      </c>
      <c r="D7" s="37" t="s">
        <v>3</v>
      </c>
      <c r="E7" s="38">
        <v>39.97</v>
      </c>
      <c r="F7" s="3"/>
      <c r="G7" s="6"/>
      <c r="I7" s="39" t="s">
        <v>15</v>
      </c>
      <c r="J7" s="38">
        <f t="shared" si="0"/>
        <v>301.60999999999996</v>
      </c>
    </row>
    <row r="8" spans="1:10" x14ac:dyDescent="0.25">
      <c r="A8" s="35">
        <v>45794</v>
      </c>
      <c r="B8" s="36" t="s">
        <v>23</v>
      </c>
      <c r="C8" s="37" t="s">
        <v>38</v>
      </c>
      <c r="D8" s="37" t="s">
        <v>3</v>
      </c>
      <c r="E8" s="38">
        <v>63.59</v>
      </c>
      <c r="F8" s="3"/>
      <c r="G8" s="6"/>
      <c r="I8" s="39" t="s">
        <v>3</v>
      </c>
      <c r="J8" s="38">
        <f t="shared" si="0"/>
        <v>1003.52</v>
      </c>
    </row>
    <row r="9" spans="1:10" x14ac:dyDescent="0.25">
      <c r="A9" s="35">
        <v>45794</v>
      </c>
      <c r="B9" s="36" t="s">
        <v>23</v>
      </c>
      <c r="C9" s="37" t="s">
        <v>14</v>
      </c>
      <c r="D9" s="37" t="s">
        <v>5</v>
      </c>
      <c r="E9" s="38">
        <v>41.94</v>
      </c>
      <c r="F9" s="3"/>
      <c r="G9" s="6"/>
      <c r="I9" s="39" t="s">
        <v>4</v>
      </c>
      <c r="J9" s="38">
        <f t="shared" si="0"/>
        <v>1647.89</v>
      </c>
    </row>
    <row r="10" spans="1:10" x14ac:dyDescent="0.25">
      <c r="A10" s="35">
        <v>45794</v>
      </c>
      <c r="B10" s="36" t="s">
        <v>23</v>
      </c>
      <c r="C10" s="37" t="s">
        <v>14</v>
      </c>
      <c r="D10" s="37" t="s">
        <v>5</v>
      </c>
      <c r="E10" s="38">
        <v>36.82</v>
      </c>
      <c r="F10" s="3"/>
      <c r="G10" s="6"/>
      <c r="I10" s="39" t="s">
        <v>84</v>
      </c>
      <c r="J10" s="38">
        <f t="shared" si="0"/>
        <v>375.94</v>
      </c>
    </row>
    <row r="11" spans="1:10" x14ac:dyDescent="0.25">
      <c r="A11" s="35">
        <v>45794</v>
      </c>
      <c r="B11" s="36" t="s">
        <v>23</v>
      </c>
      <c r="C11" s="37" t="s">
        <v>14</v>
      </c>
      <c r="D11" s="37" t="s">
        <v>5</v>
      </c>
      <c r="E11" s="38">
        <v>169.18</v>
      </c>
      <c r="F11" s="3"/>
      <c r="G11" s="6"/>
      <c r="I11" s="39" t="s">
        <v>30</v>
      </c>
      <c r="J11" s="38">
        <f>SUMIF($D$2:$D$95,I11,$G$2:$G$95)-SUMIF($D$2:$D$95,I11,$F$2:$F$95)</f>
        <v>10.84</v>
      </c>
    </row>
    <row r="12" spans="1:10" x14ac:dyDescent="0.25">
      <c r="A12" s="35">
        <v>45796</v>
      </c>
      <c r="B12" s="36" t="s">
        <v>23</v>
      </c>
      <c r="C12" s="37" t="s">
        <v>62</v>
      </c>
      <c r="D12" s="37" t="s">
        <v>84</v>
      </c>
      <c r="E12" s="38">
        <v>30.94</v>
      </c>
      <c r="F12" s="3"/>
      <c r="G12" s="6"/>
    </row>
    <row r="13" spans="1:10" x14ac:dyDescent="0.25">
      <c r="A13" s="35">
        <v>45797</v>
      </c>
      <c r="B13" s="36" t="s">
        <v>23</v>
      </c>
      <c r="C13" s="37" t="s">
        <v>47</v>
      </c>
      <c r="D13" s="37" t="s">
        <v>4</v>
      </c>
      <c r="E13" s="40">
        <v>1309.75</v>
      </c>
      <c r="F13" s="3"/>
      <c r="G13" s="6"/>
    </row>
    <row r="14" spans="1:10" x14ac:dyDescent="0.25">
      <c r="A14" s="35">
        <v>45797</v>
      </c>
      <c r="B14" s="36" t="s">
        <v>23</v>
      </c>
      <c r="C14" s="37" t="s">
        <v>106</v>
      </c>
      <c r="D14" s="37" t="s">
        <v>81</v>
      </c>
      <c r="E14" s="3"/>
      <c r="F14" s="38">
        <v>22.3</v>
      </c>
      <c r="G14" s="6"/>
    </row>
    <row r="15" spans="1:10" x14ac:dyDescent="0.25">
      <c r="A15" s="35">
        <v>45798</v>
      </c>
      <c r="B15" s="36" t="s">
        <v>23</v>
      </c>
      <c r="C15" s="37" t="s">
        <v>12</v>
      </c>
      <c r="D15" s="37" t="s">
        <v>3</v>
      </c>
      <c r="E15" s="38">
        <v>9.9700000000000006</v>
      </c>
      <c r="F15" s="3"/>
      <c r="G15" s="6"/>
    </row>
    <row r="16" spans="1:10" x14ac:dyDescent="0.25">
      <c r="A16" s="35">
        <v>45798</v>
      </c>
      <c r="B16" s="36" t="s">
        <v>23</v>
      </c>
      <c r="C16" s="37" t="s">
        <v>12</v>
      </c>
      <c r="D16" s="37" t="s">
        <v>3</v>
      </c>
      <c r="E16" s="38">
        <v>66.03</v>
      </c>
      <c r="F16" s="3"/>
      <c r="G16" s="6"/>
    </row>
    <row r="17" spans="1:7" x14ac:dyDescent="0.25">
      <c r="A17" s="35">
        <v>45798</v>
      </c>
      <c r="B17" s="36" t="s">
        <v>23</v>
      </c>
      <c r="C17" s="37" t="s">
        <v>12</v>
      </c>
      <c r="D17" s="37" t="s">
        <v>3</v>
      </c>
      <c r="E17" s="38">
        <v>1.82</v>
      </c>
      <c r="F17" s="3"/>
      <c r="G17" s="6"/>
    </row>
    <row r="18" spans="1:7" x14ac:dyDescent="0.25">
      <c r="A18" s="35">
        <v>45799</v>
      </c>
      <c r="B18" s="36" t="s">
        <v>23</v>
      </c>
      <c r="C18" s="37" t="s">
        <v>12</v>
      </c>
      <c r="D18" s="37" t="s">
        <v>3</v>
      </c>
      <c r="E18" s="38">
        <v>18.95</v>
      </c>
      <c r="F18" s="38">
        <v>17.899999999999999</v>
      </c>
      <c r="G18" s="6"/>
    </row>
    <row r="19" spans="1:7" x14ac:dyDescent="0.25">
      <c r="A19" s="35">
        <v>45799</v>
      </c>
      <c r="B19" s="36" t="s">
        <v>23</v>
      </c>
      <c r="C19" s="37" t="s">
        <v>7</v>
      </c>
      <c r="D19" s="37" t="s">
        <v>81</v>
      </c>
      <c r="E19" s="38">
        <v>6.62</v>
      </c>
      <c r="F19" s="3"/>
      <c r="G19" s="6"/>
    </row>
    <row r="20" spans="1:7" x14ac:dyDescent="0.25">
      <c r="A20" s="35">
        <v>45799</v>
      </c>
      <c r="B20" s="36" t="s">
        <v>23</v>
      </c>
      <c r="C20" s="37" t="s">
        <v>40</v>
      </c>
      <c r="D20" s="37" t="s">
        <v>3</v>
      </c>
      <c r="E20" s="38">
        <v>5.46</v>
      </c>
      <c r="F20" s="3"/>
      <c r="G20" s="6"/>
    </row>
    <row r="21" spans="1:7" x14ac:dyDescent="0.25">
      <c r="A21" s="35">
        <v>45800</v>
      </c>
      <c r="B21" s="36" t="s">
        <v>23</v>
      </c>
      <c r="C21" s="37" t="s">
        <v>12</v>
      </c>
      <c r="D21" s="37" t="s">
        <v>3</v>
      </c>
      <c r="E21" s="38">
        <v>9.89</v>
      </c>
      <c r="F21" s="3"/>
      <c r="G21" s="6"/>
    </row>
    <row r="22" spans="1:7" x14ac:dyDescent="0.25">
      <c r="A22" s="35">
        <v>45800</v>
      </c>
      <c r="B22" s="36" t="s">
        <v>23</v>
      </c>
      <c r="C22" s="37" t="s">
        <v>14</v>
      </c>
      <c r="D22" s="37" t="s">
        <v>5</v>
      </c>
      <c r="E22" s="38">
        <v>27</v>
      </c>
      <c r="F22" s="3"/>
      <c r="G22" s="6"/>
    </row>
    <row r="23" spans="1:7" x14ac:dyDescent="0.25">
      <c r="A23" s="35">
        <v>45801</v>
      </c>
      <c r="B23" s="36" t="s">
        <v>23</v>
      </c>
      <c r="C23" s="37" t="s">
        <v>76</v>
      </c>
      <c r="D23" s="37" t="s">
        <v>81</v>
      </c>
      <c r="E23" s="38">
        <v>37.44</v>
      </c>
      <c r="F23" s="3"/>
      <c r="G23" s="6"/>
    </row>
    <row r="24" spans="1:7" x14ac:dyDescent="0.25">
      <c r="A24" s="35">
        <v>45801</v>
      </c>
      <c r="B24" s="36" t="s">
        <v>23</v>
      </c>
      <c r="C24" s="37" t="s">
        <v>12</v>
      </c>
      <c r="D24" s="37" t="s">
        <v>3</v>
      </c>
      <c r="E24" s="38">
        <v>40.28</v>
      </c>
      <c r="F24" s="3"/>
      <c r="G24" s="6"/>
    </row>
    <row r="25" spans="1:7" x14ac:dyDescent="0.25">
      <c r="A25" s="35">
        <v>45801</v>
      </c>
      <c r="B25" s="36" t="s">
        <v>23</v>
      </c>
      <c r="C25" s="37" t="s">
        <v>12</v>
      </c>
      <c r="D25" s="37" t="s">
        <v>3</v>
      </c>
      <c r="E25" s="38">
        <v>2.4900000000000002</v>
      </c>
      <c r="F25" s="3"/>
      <c r="G25" s="6"/>
    </row>
    <row r="26" spans="1:7" x14ac:dyDescent="0.25">
      <c r="A26" s="35">
        <v>45801</v>
      </c>
      <c r="B26" s="41" t="s">
        <v>23</v>
      </c>
      <c r="C26" s="37" t="s">
        <v>12</v>
      </c>
      <c r="D26" s="37" t="s">
        <v>3</v>
      </c>
      <c r="E26" s="38">
        <v>60.51</v>
      </c>
      <c r="F26" s="3"/>
      <c r="G26" s="6"/>
    </row>
    <row r="27" spans="1:7" x14ac:dyDescent="0.25">
      <c r="A27" s="35">
        <v>45801</v>
      </c>
      <c r="B27" s="41" t="s">
        <v>23</v>
      </c>
      <c r="C27" s="37" t="s">
        <v>12</v>
      </c>
      <c r="D27" s="37" t="s">
        <v>81</v>
      </c>
      <c r="E27" s="38">
        <v>64.2</v>
      </c>
      <c r="F27" s="3"/>
      <c r="G27" s="9"/>
    </row>
    <row r="28" spans="1:7" x14ac:dyDescent="0.25">
      <c r="A28" s="35">
        <v>45801</v>
      </c>
      <c r="B28" s="41" t="s">
        <v>23</v>
      </c>
      <c r="C28" s="37" t="s">
        <v>54</v>
      </c>
      <c r="D28" s="37" t="s">
        <v>81</v>
      </c>
      <c r="E28" s="38">
        <v>9.61</v>
      </c>
      <c r="F28" s="3"/>
      <c r="G28" s="6"/>
    </row>
    <row r="29" spans="1:7" x14ac:dyDescent="0.25">
      <c r="A29" s="35">
        <v>45801</v>
      </c>
      <c r="B29" s="36" t="s">
        <v>23</v>
      </c>
      <c r="C29" s="37" t="s">
        <v>54</v>
      </c>
      <c r="D29" s="37" t="s">
        <v>81</v>
      </c>
      <c r="E29" s="38">
        <v>32.1</v>
      </c>
      <c r="F29" s="3"/>
      <c r="G29" s="6"/>
    </row>
    <row r="30" spans="1:7" x14ac:dyDescent="0.25">
      <c r="A30" s="35">
        <v>45804</v>
      </c>
      <c r="B30" s="36" t="s">
        <v>23</v>
      </c>
      <c r="C30" s="37" t="s">
        <v>54</v>
      </c>
      <c r="D30" s="37" t="s">
        <v>81</v>
      </c>
      <c r="E30" s="38">
        <v>21.39</v>
      </c>
      <c r="F30" s="3"/>
      <c r="G30" s="6"/>
    </row>
    <row r="31" spans="1:7" x14ac:dyDescent="0.25">
      <c r="A31" s="35">
        <v>45804</v>
      </c>
      <c r="B31" s="36" t="s">
        <v>23</v>
      </c>
      <c r="C31" s="37" t="s">
        <v>12</v>
      </c>
      <c r="D31" s="37" t="s">
        <v>81</v>
      </c>
      <c r="E31" s="38">
        <v>58.81</v>
      </c>
      <c r="F31" s="3"/>
      <c r="G31" s="6"/>
    </row>
    <row r="32" spans="1:7" x14ac:dyDescent="0.25">
      <c r="A32" s="35">
        <v>45805</v>
      </c>
      <c r="B32" s="36" t="s">
        <v>23</v>
      </c>
      <c r="C32" s="37" t="s">
        <v>12</v>
      </c>
      <c r="D32" s="37" t="s">
        <v>3</v>
      </c>
      <c r="E32" s="38">
        <v>7.15</v>
      </c>
      <c r="F32" s="38">
        <v>6.94</v>
      </c>
      <c r="G32" s="6"/>
    </row>
    <row r="33" spans="1:7" x14ac:dyDescent="0.25">
      <c r="A33" s="35">
        <v>45806</v>
      </c>
      <c r="B33" s="36" t="s">
        <v>23</v>
      </c>
      <c r="C33" s="37" t="s">
        <v>12</v>
      </c>
      <c r="D33" s="37" t="s">
        <v>3</v>
      </c>
      <c r="E33" s="38">
        <v>6.26</v>
      </c>
      <c r="F33" s="3"/>
      <c r="G33" s="6"/>
    </row>
    <row r="34" spans="1:7" x14ac:dyDescent="0.25">
      <c r="A34" s="35">
        <v>45808</v>
      </c>
      <c r="B34" s="36" t="s">
        <v>23</v>
      </c>
      <c r="C34" s="37" t="s">
        <v>12</v>
      </c>
      <c r="D34" s="37" t="s">
        <v>3</v>
      </c>
      <c r="E34" s="38">
        <v>13.64</v>
      </c>
      <c r="F34" s="3"/>
      <c r="G34" s="6"/>
    </row>
    <row r="35" spans="1:7" x14ac:dyDescent="0.25">
      <c r="A35" s="35">
        <v>45808</v>
      </c>
      <c r="B35" s="36" t="s">
        <v>23</v>
      </c>
      <c r="C35" s="37" t="s">
        <v>12</v>
      </c>
      <c r="D35" s="37" t="s">
        <v>3</v>
      </c>
      <c r="E35" s="38">
        <v>1.73</v>
      </c>
      <c r="F35" s="3"/>
      <c r="G35" s="6"/>
    </row>
    <row r="36" spans="1:7" x14ac:dyDescent="0.25">
      <c r="A36" s="35">
        <v>45808</v>
      </c>
      <c r="B36" s="36" t="s">
        <v>23</v>
      </c>
      <c r="C36" s="37" t="s">
        <v>47</v>
      </c>
      <c r="D36" s="37" t="s">
        <v>4</v>
      </c>
      <c r="E36" s="40">
        <v>103</v>
      </c>
      <c r="F36" s="3"/>
      <c r="G36" s="6"/>
    </row>
    <row r="37" spans="1:7" x14ac:dyDescent="0.25">
      <c r="A37" s="35">
        <v>45808</v>
      </c>
      <c r="B37" s="36" t="s">
        <v>23</v>
      </c>
      <c r="C37" s="37" t="s">
        <v>55</v>
      </c>
      <c r="D37" s="37" t="s">
        <v>3</v>
      </c>
      <c r="E37" s="38">
        <v>27.54</v>
      </c>
      <c r="F37" s="3"/>
      <c r="G37" s="6"/>
    </row>
    <row r="38" spans="1:7" x14ac:dyDescent="0.25">
      <c r="A38" s="35">
        <v>45808</v>
      </c>
      <c r="B38" s="36" t="s">
        <v>23</v>
      </c>
      <c r="C38" s="37" t="s">
        <v>62</v>
      </c>
      <c r="D38" s="37" t="s">
        <v>84</v>
      </c>
      <c r="E38" s="40">
        <v>160</v>
      </c>
      <c r="F38" s="3"/>
      <c r="G38" s="6"/>
    </row>
    <row r="39" spans="1:7" x14ac:dyDescent="0.25">
      <c r="A39" s="35">
        <v>45810</v>
      </c>
      <c r="B39" s="36" t="s">
        <v>23</v>
      </c>
      <c r="C39" s="37" t="s">
        <v>43</v>
      </c>
      <c r="D39" s="37" t="s">
        <v>3</v>
      </c>
      <c r="E39" s="38">
        <v>8.84</v>
      </c>
      <c r="F39" s="3"/>
      <c r="G39" s="6"/>
    </row>
    <row r="40" spans="1:7" x14ac:dyDescent="0.25">
      <c r="A40" s="35">
        <v>45810</v>
      </c>
      <c r="B40" s="36" t="s">
        <v>23</v>
      </c>
      <c r="C40" s="37" t="s">
        <v>89</v>
      </c>
      <c r="D40" s="37" t="s">
        <v>15</v>
      </c>
      <c r="E40" s="38">
        <v>16.86</v>
      </c>
      <c r="F40" s="3"/>
      <c r="G40" s="6"/>
    </row>
    <row r="41" spans="1:7" x14ac:dyDescent="0.25">
      <c r="A41" s="35">
        <v>45810</v>
      </c>
      <c r="B41" s="36" t="s">
        <v>23</v>
      </c>
      <c r="C41" s="37" t="s">
        <v>12</v>
      </c>
      <c r="D41" s="37" t="s">
        <v>3</v>
      </c>
      <c r="E41" s="38">
        <v>23.54</v>
      </c>
      <c r="F41" s="3"/>
      <c r="G41" s="6"/>
    </row>
    <row r="42" spans="1:7" x14ac:dyDescent="0.25">
      <c r="A42" s="35">
        <v>45811</v>
      </c>
      <c r="B42" s="36" t="s">
        <v>23</v>
      </c>
      <c r="C42" s="37" t="s">
        <v>12</v>
      </c>
      <c r="D42" s="37" t="s">
        <v>3</v>
      </c>
      <c r="E42" s="38">
        <v>178.41</v>
      </c>
      <c r="F42" s="3"/>
      <c r="G42" s="6"/>
    </row>
    <row r="43" spans="1:7" x14ac:dyDescent="0.25">
      <c r="A43" s="35">
        <v>45812</v>
      </c>
      <c r="B43" s="36" t="s">
        <v>23</v>
      </c>
      <c r="C43" s="37" t="s">
        <v>12</v>
      </c>
      <c r="D43" s="37" t="s">
        <v>3</v>
      </c>
      <c r="E43" s="38">
        <v>19.82</v>
      </c>
      <c r="F43" s="38">
        <v>6.91</v>
      </c>
      <c r="G43" s="6"/>
    </row>
    <row r="44" spans="1:7" x14ac:dyDescent="0.25">
      <c r="A44" s="35">
        <v>45812</v>
      </c>
      <c r="B44" s="36" t="s">
        <v>23</v>
      </c>
      <c r="C44" s="37" t="s">
        <v>12</v>
      </c>
      <c r="D44" s="37" t="s">
        <v>3</v>
      </c>
      <c r="E44" s="38">
        <v>20.100000000000001</v>
      </c>
      <c r="F44" s="3"/>
      <c r="G44" s="6"/>
    </row>
    <row r="45" spans="1:7" x14ac:dyDescent="0.25">
      <c r="A45" s="35">
        <v>45812</v>
      </c>
      <c r="B45" s="36" t="s">
        <v>23</v>
      </c>
      <c r="C45" s="37" t="s">
        <v>38</v>
      </c>
      <c r="D45" s="37" t="s">
        <v>3</v>
      </c>
      <c r="E45" s="38">
        <v>47.81</v>
      </c>
      <c r="F45" s="3"/>
      <c r="G45" s="6"/>
    </row>
    <row r="46" spans="1:7" x14ac:dyDescent="0.25">
      <c r="A46" s="35">
        <v>45814</v>
      </c>
      <c r="B46" s="36" t="s">
        <v>23</v>
      </c>
      <c r="C46" s="37" t="s">
        <v>12</v>
      </c>
      <c r="D46" s="37" t="s">
        <v>3</v>
      </c>
      <c r="E46" s="38">
        <v>5.55</v>
      </c>
      <c r="F46" s="3"/>
      <c r="G46" s="6"/>
    </row>
    <row r="47" spans="1:7" x14ac:dyDescent="0.25">
      <c r="A47" s="35">
        <v>45814</v>
      </c>
      <c r="B47" s="36" t="s">
        <v>23</v>
      </c>
      <c r="C47" s="37" t="s">
        <v>12</v>
      </c>
      <c r="D47" s="37" t="s">
        <v>3</v>
      </c>
      <c r="E47" s="38">
        <v>31.78</v>
      </c>
      <c r="F47" s="3"/>
      <c r="G47" s="6"/>
    </row>
    <row r="48" spans="1:7" x14ac:dyDescent="0.25">
      <c r="A48" s="35">
        <v>45783</v>
      </c>
      <c r="B48" s="36" t="s">
        <v>16</v>
      </c>
      <c r="C48" s="37" t="s">
        <v>12</v>
      </c>
      <c r="D48" s="37" t="s">
        <v>15</v>
      </c>
      <c r="E48" s="38">
        <v>17.46</v>
      </c>
      <c r="F48" s="3"/>
      <c r="G48" s="6"/>
    </row>
    <row r="49" spans="1:7" x14ac:dyDescent="0.25">
      <c r="A49" s="35">
        <v>45787</v>
      </c>
      <c r="B49" s="36" t="s">
        <v>16</v>
      </c>
      <c r="C49" s="37" t="s">
        <v>66</v>
      </c>
      <c r="D49" s="37" t="s">
        <v>6</v>
      </c>
      <c r="E49" s="38">
        <v>136.44</v>
      </c>
      <c r="F49" s="3"/>
      <c r="G49" s="6"/>
    </row>
    <row r="50" spans="1:7" x14ac:dyDescent="0.25">
      <c r="A50" s="35">
        <v>45788</v>
      </c>
      <c r="B50" s="36" t="s">
        <v>16</v>
      </c>
      <c r="C50" s="37" t="s">
        <v>12</v>
      </c>
      <c r="D50" s="37" t="s">
        <v>15</v>
      </c>
      <c r="E50" s="38">
        <v>35.380000000000003</v>
      </c>
      <c r="F50" s="3"/>
      <c r="G50" s="6"/>
    </row>
    <row r="51" spans="1:7" x14ac:dyDescent="0.25">
      <c r="A51" s="35">
        <v>45789</v>
      </c>
      <c r="B51" s="36" t="s">
        <v>16</v>
      </c>
      <c r="C51" s="37" t="s">
        <v>66</v>
      </c>
      <c r="D51" s="37" t="s">
        <v>6</v>
      </c>
      <c r="E51" s="38">
        <v>14.8</v>
      </c>
      <c r="F51" s="3"/>
      <c r="G51" s="6"/>
    </row>
    <row r="52" spans="1:7" x14ac:dyDescent="0.25">
      <c r="A52" s="35">
        <v>45791</v>
      </c>
      <c r="B52" s="36" t="s">
        <v>16</v>
      </c>
      <c r="C52" s="37" t="s">
        <v>16</v>
      </c>
      <c r="D52" s="37" t="s">
        <v>30</v>
      </c>
      <c r="E52" s="3"/>
      <c r="F52" s="3"/>
      <c r="G52" s="44">
        <v>10.84</v>
      </c>
    </row>
    <row r="53" spans="1:7" x14ac:dyDescent="0.25">
      <c r="A53" s="35">
        <v>45791</v>
      </c>
      <c r="B53" s="36" t="s">
        <v>16</v>
      </c>
      <c r="C53" s="37" t="s">
        <v>16</v>
      </c>
      <c r="D53" s="37" t="s">
        <v>3</v>
      </c>
      <c r="E53" s="38">
        <v>20.27</v>
      </c>
      <c r="F53" s="3"/>
      <c r="G53" s="6"/>
    </row>
    <row r="54" spans="1:7" x14ac:dyDescent="0.25">
      <c r="A54" s="35">
        <v>45792</v>
      </c>
      <c r="B54" s="36" t="s">
        <v>16</v>
      </c>
      <c r="C54" s="37" t="s">
        <v>12</v>
      </c>
      <c r="D54" s="37" t="s">
        <v>15</v>
      </c>
      <c r="E54" s="38">
        <v>22.93</v>
      </c>
      <c r="F54" s="3"/>
      <c r="G54" s="6"/>
    </row>
    <row r="55" spans="1:7" x14ac:dyDescent="0.25">
      <c r="A55" s="35">
        <v>45793</v>
      </c>
      <c r="B55" s="36" t="s">
        <v>16</v>
      </c>
      <c r="C55" s="37" t="s">
        <v>16</v>
      </c>
      <c r="D55" s="37" t="s">
        <v>15</v>
      </c>
      <c r="E55" s="38">
        <v>31.95</v>
      </c>
      <c r="F55" s="2"/>
      <c r="G55" s="9"/>
    </row>
    <row r="56" spans="1:7" x14ac:dyDescent="0.25">
      <c r="A56" s="35">
        <v>45794</v>
      </c>
      <c r="B56" s="36" t="s">
        <v>16</v>
      </c>
      <c r="C56" s="37" t="s">
        <v>66</v>
      </c>
      <c r="D56" s="37" t="s">
        <v>6</v>
      </c>
      <c r="E56" s="38">
        <v>9.2799999999999994</v>
      </c>
      <c r="F56" s="2"/>
      <c r="G56" s="9"/>
    </row>
    <row r="57" spans="1:7" x14ac:dyDescent="0.25">
      <c r="A57" s="35">
        <v>45794</v>
      </c>
      <c r="B57" s="36" t="s">
        <v>16</v>
      </c>
      <c r="C57" s="37" t="s">
        <v>12</v>
      </c>
      <c r="D57" s="37" t="s">
        <v>15</v>
      </c>
      <c r="E57" s="38">
        <v>3.15</v>
      </c>
      <c r="F57" s="2"/>
      <c r="G57" s="9"/>
    </row>
    <row r="58" spans="1:7" x14ac:dyDescent="0.25">
      <c r="A58" s="35">
        <v>45796</v>
      </c>
      <c r="B58" s="36" t="s">
        <v>16</v>
      </c>
      <c r="C58" s="37" t="s">
        <v>66</v>
      </c>
      <c r="D58" s="37" t="s">
        <v>6</v>
      </c>
      <c r="E58" s="38">
        <v>8.2799999999999994</v>
      </c>
      <c r="F58" s="2"/>
      <c r="G58" s="9"/>
    </row>
    <row r="59" spans="1:7" x14ac:dyDescent="0.25">
      <c r="A59" s="35">
        <v>45797</v>
      </c>
      <c r="B59" s="36" t="s">
        <v>16</v>
      </c>
      <c r="C59" s="37" t="s">
        <v>12</v>
      </c>
      <c r="D59" s="37" t="s">
        <v>15</v>
      </c>
      <c r="E59" s="38">
        <v>20.23</v>
      </c>
      <c r="F59" s="2"/>
      <c r="G59" s="9"/>
    </row>
    <row r="60" spans="1:7" x14ac:dyDescent="0.25">
      <c r="A60" s="35">
        <v>45799</v>
      </c>
      <c r="B60" s="36" t="s">
        <v>16</v>
      </c>
      <c r="C60" s="37" t="s">
        <v>16</v>
      </c>
      <c r="D60" s="37" t="s">
        <v>3</v>
      </c>
      <c r="E60" s="38">
        <v>22.83</v>
      </c>
      <c r="F60" s="2"/>
      <c r="G60" s="9"/>
    </row>
    <row r="61" spans="1:7" x14ac:dyDescent="0.25">
      <c r="A61" s="35">
        <v>45799</v>
      </c>
      <c r="B61" s="36" t="s">
        <v>16</v>
      </c>
      <c r="C61" s="37" t="s">
        <v>16</v>
      </c>
      <c r="D61" s="37" t="s">
        <v>15</v>
      </c>
      <c r="E61" s="38">
        <v>14.12</v>
      </c>
      <c r="F61" s="2"/>
      <c r="G61" s="9"/>
    </row>
    <row r="62" spans="1:7" x14ac:dyDescent="0.25">
      <c r="A62" s="35">
        <v>45799</v>
      </c>
      <c r="B62" s="36" t="s">
        <v>16</v>
      </c>
      <c r="C62" s="37" t="s">
        <v>66</v>
      </c>
      <c r="D62" s="37" t="s">
        <v>6</v>
      </c>
      <c r="E62" s="38">
        <v>13.45</v>
      </c>
      <c r="F62" s="2"/>
      <c r="G62" s="9"/>
    </row>
    <row r="63" spans="1:7" x14ac:dyDescent="0.25">
      <c r="A63" s="35">
        <v>45801</v>
      </c>
      <c r="B63" s="36" t="s">
        <v>16</v>
      </c>
      <c r="C63" s="37" t="s">
        <v>66</v>
      </c>
      <c r="D63" s="37" t="s">
        <v>6</v>
      </c>
      <c r="E63" s="38">
        <v>21.95</v>
      </c>
      <c r="F63" s="2"/>
      <c r="G63" s="9"/>
    </row>
    <row r="64" spans="1:7" x14ac:dyDescent="0.25">
      <c r="A64" s="35">
        <v>45802</v>
      </c>
      <c r="B64" s="36" t="s">
        <v>16</v>
      </c>
      <c r="C64" s="37" t="s">
        <v>66</v>
      </c>
      <c r="D64" s="37" t="s">
        <v>6</v>
      </c>
      <c r="E64" s="38">
        <v>140</v>
      </c>
      <c r="F64" s="2"/>
      <c r="G64" s="9"/>
    </row>
    <row r="65" spans="1:7" x14ac:dyDescent="0.25">
      <c r="A65" s="35">
        <v>45802</v>
      </c>
      <c r="B65" s="36" t="s">
        <v>16</v>
      </c>
      <c r="C65" s="37" t="s">
        <v>66</v>
      </c>
      <c r="D65" s="37" t="s">
        <v>6</v>
      </c>
      <c r="E65" s="38">
        <v>62.99</v>
      </c>
      <c r="F65" s="2"/>
      <c r="G65" s="9"/>
    </row>
    <row r="66" spans="1:7" x14ac:dyDescent="0.25">
      <c r="A66" s="35">
        <v>45806</v>
      </c>
      <c r="B66" s="36" t="s">
        <v>16</v>
      </c>
      <c r="C66" s="37" t="s">
        <v>12</v>
      </c>
      <c r="D66" s="37" t="s">
        <v>15</v>
      </c>
      <c r="E66" s="38">
        <v>30.89</v>
      </c>
      <c r="F66" s="2"/>
      <c r="G66" s="9"/>
    </row>
    <row r="67" spans="1:7" x14ac:dyDescent="0.25">
      <c r="A67" s="35">
        <v>45807</v>
      </c>
      <c r="B67" s="36" t="s">
        <v>16</v>
      </c>
      <c r="C67" s="37" t="s">
        <v>12</v>
      </c>
      <c r="D67" s="37" t="s">
        <v>15</v>
      </c>
      <c r="E67" s="38">
        <v>34.28</v>
      </c>
      <c r="F67" s="2"/>
      <c r="G67" s="9"/>
    </row>
    <row r="68" spans="1:7" x14ac:dyDescent="0.25">
      <c r="A68" s="35">
        <v>45807</v>
      </c>
      <c r="B68" s="36" t="s">
        <v>16</v>
      </c>
      <c r="C68" s="37" t="s">
        <v>12</v>
      </c>
      <c r="D68" s="37" t="s">
        <v>15</v>
      </c>
      <c r="E68" s="38">
        <v>42.75</v>
      </c>
      <c r="F68" s="2"/>
      <c r="G68" s="9"/>
    </row>
    <row r="69" spans="1:7" x14ac:dyDescent="0.25">
      <c r="A69" s="35">
        <v>45808</v>
      </c>
      <c r="B69" s="36" t="s">
        <v>16</v>
      </c>
      <c r="C69" s="37" t="s">
        <v>12</v>
      </c>
      <c r="D69" s="37" t="s">
        <v>15</v>
      </c>
      <c r="E69" s="38">
        <v>6.77</v>
      </c>
      <c r="F69" s="2"/>
      <c r="G69" s="9"/>
    </row>
    <row r="70" spans="1:7" x14ac:dyDescent="0.25">
      <c r="A70" s="35">
        <v>45810</v>
      </c>
      <c r="B70" s="36" t="s">
        <v>16</v>
      </c>
      <c r="C70" s="37" t="s">
        <v>66</v>
      </c>
      <c r="D70" s="37" t="s">
        <v>6</v>
      </c>
      <c r="E70" s="38">
        <v>12.7</v>
      </c>
      <c r="F70" s="2"/>
      <c r="G70" s="9"/>
    </row>
    <row r="71" spans="1:7" x14ac:dyDescent="0.25">
      <c r="A71" s="35">
        <v>45813</v>
      </c>
      <c r="B71" s="36" t="s">
        <v>16</v>
      </c>
      <c r="C71" s="37" t="s">
        <v>12</v>
      </c>
      <c r="D71" s="37" t="s">
        <v>15</v>
      </c>
      <c r="E71" s="38">
        <v>24.84</v>
      </c>
      <c r="F71" s="2"/>
      <c r="G71" s="9"/>
    </row>
    <row r="72" spans="1:7" x14ac:dyDescent="0.25">
      <c r="A72" s="35">
        <v>45814</v>
      </c>
      <c r="B72" s="36" t="s">
        <v>16</v>
      </c>
      <c r="C72" s="37" t="s">
        <v>16</v>
      </c>
      <c r="D72" s="37" t="s">
        <v>3</v>
      </c>
      <c r="E72" s="38">
        <v>33.11</v>
      </c>
      <c r="F72" s="2"/>
      <c r="G72" s="9"/>
    </row>
    <row r="73" spans="1:7" x14ac:dyDescent="0.25">
      <c r="A73" s="35">
        <v>45815</v>
      </c>
      <c r="B73" s="36" t="s">
        <v>23</v>
      </c>
      <c r="C73" s="37" t="s">
        <v>12</v>
      </c>
      <c r="D73" s="37" t="s">
        <v>3</v>
      </c>
      <c r="E73" s="38">
        <v>104.05</v>
      </c>
      <c r="F73" s="2"/>
      <c r="G73" s="9"/>
    </row>
    <row r="74" spans="1:7" x14ac:dyDescent="0.25">
      <c r="A74" s="35">
        <v>45815</v>
      </c>
      <c r="B74" s="36" t="s">
        <v>23</v>
      </c>
      <c r="C74" s="37" t="s">
        <v>12</v>
      </c>
      <c r="D74" s="37" t="s">
        <v>3</v>
      </c>
      <c r="E74" s="38">
        <v>9.31</v>
      </c>
      <c r="F74" s="2"/>
      <c r="G74" s="9"/>
    </row>
    <row r="75" spans="1:7" x14ac:dyDescent="0.25">
      <c r="A75" s="35">
        <v>45815</v>
      </c>
      <c r="B75" s="36" t="s">
        <v>23</v>
      </c>
      <c r="C75" s="37" t="s">
        <v>107</v>
      </c>
      <c r="D75" s="37" t="s">
        <v>84</v>
      </c>
      <c r="E75" s="38">
        <v>25</v>
      </c>
      <c r="F75" s="2"/>
      <c r="G75" s="9"/>
    </row>
    <row r="76" spans="1:7" x14ac:dyDescent="0.25">
      <c r="A76" s="35">
        <v>45817</v>
      </c>
      <c r="B76" s="36" t="s">
        <v>23</v>
      </c>
      <c r="C76" s="37" t="s">
        <v>12</v>
      </c>
      <c r="D76" s="37" t="s">
        <v>3</v>
      </c>
      <c r="E76" s="38">
        <v>30.74</v>
      </c>
      <c r="F76" s="52">
        <v>5.55</v>
      </c>
      <c r="G76" s="9"/>
    </row>
    <row r="77" spans="1:7" x14ac:dyDescent="0.25">
      <c r="A77" s="35">
        <v>45817</v>
      </c>
      <c r="B77" s="36" t="s">
        <v>23</v>
      </c>
      <c r="C77" s="37" t="s">
        <v>43</v>
      </c>
      <c r="D77" s="37" t="s">
        <v>3</v>
      </c>
      <c r="E77" s="38">
        <v>5.76</v>
      </c>
      <c r="F77" s="2"/>
      <c r="G77" s="9"/>
    </row>
    <row r="78" spans="1:7" x14ac:dyDescent="0.25">
      <c r="A78" s="35">
        <v>45817</v>
      </c>
      <c r="B78" s="36" t="s">
        <v>23</v>
      </c>
      <c r="C78" s="37" t="s">
        <v>12</v>
      </c>
      <c r="D78" s="37" t="s">
        <v>3</v>
      </c>
      <c r="E78" s="38">
        <v>1.82</v>
      </c>
      <c r="F78" s="2"/>
      <c r="G78" s="9"/>
    </row>
    <row r="79" spans="1:7" x14ac:dyDescent="0.25">
      <c r="A79" s="35">
        <v>45817</v>
      </c>
      <c r="B79" s="36" t="s">
        <v>23</v>
      </c>
      <c r="C79" s="37" t="s">
        <v>7</v>
      </c>
      <c r="D79" s="37" t="s">
        <v>81</v>
      </c>
      <c r="E79" s="38">
        <v>95.01</v>
      </c>
      <c r="F79" s="2"/>
      <c r="G79" s="9"/>
    </row>
    <row r="80" spans="1:7" x14ac:dyDescent="0.25">
      <c r="A80" s="35">
        <v>45818</v>
      </c>
      <c r="B80" s="36" t="s">
        <v>23</v>
      </c>
      <c r="C80" s="37" t="s">
        <v>12</v>
      </c>
      <c r="D80" s="37" t="s">
        <v>3</v>
      </c>
      <c r="E80" s="38">
        <v>6.96</v>
      </c>
      <c r="F80" s="2"/>
      <c r="G80" s="9"/>
    </row>
    <row r="81" spans="1:7" x14ac:dyDescent="0.25">
      <c r="A81" s="35">
        <v>45818</v>
      </c>
      <c r="B81" s="36" t="s">
        <v>23</v>
      </c>
      <c r="C81" s="37" t="s">
        <v>12</v>
      </c>
      <c r="D81" s="37" t="s">
        <v>3</v>
      </c>
      <c r="E81" s="38">
        <v>6.42</v>
      </c>
      <c r="F81" s="2"/>
      <c r="G81" s="9"/>
    </row>
    <row r="82" spans="1:7" x14ac:dyDescent="0.25">
      <c r="A82" s="35">
        <v>45818</v>
      </c>
      <c r="B82" s="36" t="s">
        <v>23</v>
      </c>
      <c r="C82" s="37" t="s">
        <v>12</v>
      </c>
      <c r="D82" s="37" t="s">
        <v>3</v>
      </c>
      <c r="E82" s="38">
        <v>9.6199999999999992</v>
      </c>
      <c r="F82" s="2"/>
      <c r="G82" s="9"/>
    </row>
    <row r="83" spans="1:7" x14ac:dyDescent="0.25">
      <c r="A83" s="35">
        <v>45818</v>
      </c>
      <c r="B83" s="36" t="s">
        <v>23</v>
      </c>
      <c r="C83" s="37" t="s">
        <v>12</v>
      </c>
      <c r="D83" s="37" t="s">
        <v>3</v>
      </c>
      <c r="E83" s="3"/>
      <c r="F83" s="52">
        <v>14.88</v>
      </c>
      <c r="G83" s="9"/>
    </row>
    <row r="84" spans="1:7" x14ac:dyDescent="0.25">
      <c r="A84" s="35">
        <v>45818</v>
      </c>
      <c r="B84" s="36" t="s">
        <v>23</v>
      </c>
      <c r="C84" s="37" t="s">
        <v>13</v>
      </c>
      <c r="D84" s="37" t="s">
        <v>81</v>
      </c>
      <c r="E84" s="38">
        <v>33.119999999999997</v>
      </c>
      <c r="F84" s="2"/>
      <c r="G84" s="9"/>
    </row>
    <row r="85" spans="1:7" x14ac:dyDescent="0.25">
      <c r="A85" s="35">
        <v>45818</v>
      </c>
      <c r="B85" s="36" t="s">
        <v>23</v>
      </c>
      <c r="C85" s="37" t="s">
        <v>47</v>
      </c>
      <c r="D85" s="37" t="s">
        <v>4</v>
      </c>
      <c r="E85" s="38">
        <v>82.98</v>
      </c>
      <c r="F85" s="2"/>
      <c r="G85" s="9"/>
    </row>
    <row r="86" spans="1:7" x14ac:dyDescent="0.25">
      <c r="A86" s="35">
        <v>45819</v>
      </c>
      <c r="B86" s="36" t="s">
        <v>23</v>
      </c>
      <c r="C86" s="37" t="s">
        <v>12</v>
      </c>
      <c r="D86" s="37" t="s">
        <v>3</v>
      </c>
      <c r="E86" s="38">
        <v>41.91</v>
      </c>
      <c r="F86" s="2"/>
      <c r="G86" s="9"/>
    </row>
    <row r="87" spans="1:7" x14ac:dyDescent="0.25">
      <c r="A87" s="35">
        <v>45820</v>
      </c>
      <c r="B87" s="36" t="s">
        <v>23</v>
      </c>
      <c r="C87" s="37" t="s">
        <v>7</v>
      </c>
      <c r="D87" s="37" t="s">
        <v>81</v>
      </c>
      <c r="E87" s="38">
        <v>77.34</v>
      </c>
      <c r="F87" s="2"/>
      <c r="G87" s="9"/>
    </row>
    <row r="88" spans="1:7" x14ac:dyDescent="0.25">
      <c r="A88" s="35">
        <v>45820</v>
      </c>
      <c r="B88" s="36" t="s">
        <v>23</v>
      </c>
      <c r="C88" s="37" t="s">
        <v>7</v>
      </c>
      <c r="D88" s="37" t="s">
        <v>81</v>
      </c>
      <c r="E88" s="38">
        <v>8.99</v>
      </c>
      <c r="F88" s="2"/>
      <c r="G88" s="9"/>
    </row>
    <row r="89" spans="1:7" x14ac:dyDescent="0.25">
      <c r="A89" s="35">
        <v>45821</v>
      </c>
      <c r="B89" s="36" t="s">
        <v>23</v>
      </c>
      <c r="C89" s="37" t="s">
        <v>12</v>
      </c>
      <c r="D89" s="37" t="s">
        <v>3</v>
      </c>
      <c r="E89" s="38">
        <v>23.76</v>
      </c>
      <c r="F89" s="2"/>
      <c r="G89" s="9"/>
    </row>
    <row r="90" spans="1:7" x14ac:dyDescent="0.25">
      <c r="A90" s="35">
        <v>45821</v>
      </c>
      <c r="B90" s="36" t="s">
        <v>23</v>
      </c>
      <c r="C90" s="37" t="s">
        <v>7</v>
      </c>
      <c r="D90" s="37" t="s">
        <v>81</v>
      </c>
      <c r="E90" s="38">
        <v>5.66</v>
      </c>
      <c r="F90" s="2"/>
      <c r="G90" s="9"/>
    </row>
    <row r="91" spans="1:7" x14ac:dyDescent="0.25">
      <c r="A91" s="35">
        <v>45821</v>
      </c>
      <c r="B91" s="36" t="s">
        <v>23</v>
      </c>
      <c r="C91" s="37" t="s">
        <v>7</v>
      </c>
      <c r="D91" s="37" t="s">
        <v>81</v>
      </c>
      <c r="E91" s="3"/>
      <c r="F91" s="38">
        <v>8.99</v>
      </c>
      <c r="G91" s="6"/>
    </row>
    <row r="92" spans="1:7" x14ac:dyDescent="0.25">
      <c r="A92" s="8"/>
      <c r="B92" s="4"/>
      <c r="C92" s="5"/>
      <c r="D92" s="5"/>
      <c r="E92" s="3"/>
      <c r="F92" s="2"/>
      <c r="G92" s="9"/>
    </row>
    <row r="93" spans="1:7" x14ac:dyDescent="0.25">
      <c r="A93" s="42" t="s">
        <v>21</v>
      </c>
      <c r="B93" s="43"/>
      <c r="C93" s="2"/>
      <c r="D93" s="2"/>
      <c r="E93" s="38">
        <f>SUM(E2:E92)</f>
        <v>4535.0899999999992</v>
      </c>
      <c r="F93" s="38">
        <f>SUM(F2:F92)</f>
        <v>92.299999999999983</v>
      </c>
      <c r="G93" s="44">
        <f>SUM(G2:G91)</f>
        <v>10.84</v>
      </c>
    </row>
    <row r="94" spans="1:7" x14ac:dyDescent="0.25">
      <c r="A94" s="45" t="s">
        <v>17</v>
      </c>
      <c r="B94" s="46"/>
      <c r="C94" s="51">
        <f>SUMIF(B2:B91,"Capitol One",F2:F91)</f>
        <v>92.299999999999983</v>
      </c>
      <c r="D94" s="2"/>
      <c r="E94" s="2"/>
      <c r="F94" s="2"/>
      <c r="G94" s="9"/>
    </row>
    <row r="95" spans="1:7" x14ac:dyDescent="0.25">
      <c r="A95" s="42" t="s">
        <v>18</v>
      </c>
      <c r="B95" s="43"/>
      <c r="C95" s="38">
        <f>SUMIF(B2:B91,"Sam's Club",F2:F91)</f>
        <v>0</v>
      </c>
      <c r="D95" s="2"/>
      <c r="E95" s="2"/>
      <c r="F95" s="2"/>
      <c r="G95" s="9"/>
    </row>
    <row r="96" spans="1:7" x14ac:dyDescent="0.25">
      <c r="A96" s="42" t="s">
        <v>90</v>
      </c>
      <c r="B96" s="43"/>
      <c r="C96" s="51">
        <f>SUMIF(B2:B91,"Discover",F2:F91)</f>
        <v>0</v>
      </c>
      <c r="D96" s="17"/>
      <c r="E96" s="17"/>
      <c r="F96" s="17"/>
      <c r="G96" s="13"/>
    </row>
    <row r="97" spans="1:7" x14ac:dyDescent="0.25">
      <c r="A97" s="42" t="s">
        <v>91</v>
      </c>
      <c r="B97" s="43"/>
      <c r="C97" s="38">
        <f>SUMIF($B2:B91,"Discover",$E2:E91)+SUMIF($B2:B91,"Discover",$G2:G91)-C96</f>
        <v>0</v>
      </c>
      <c r="D97" s="2"/>
      <c r="E97" s="2"/>
      <c r="F97" s="2"/>
      <c r="G97" s="9"/>
    </row>
    <row r="98" spans="1:7" x14ac:dyDescent="0.25">
      <c r="A98" s="45" t="s">
        <v>19</v>
      </c>
      <c r="B98" s="46"/>
      <c r="C98" s="38">
        <f>SUMIF($B2:B92,"Capitol One",$E2:E92)+SUMIF($B2:B92,"Capitol One",$G2:G92)-C94</f>
        <v>3661.9400000000005</v>
      </c>
      <c r="D98" s="2"/>
      <c r="E98" s="2"/>
      <c r="F98" s="2"/>
      <c r="G98" s="9"/>
    </row>
    <row r="99" spans="1:7" ht="15.75" thickBot="1" x14ac:dyDescent="0.3">
      <c r="A99" s="47" t="s">
        <v>20</v>
      </c>
      <c r="B99" s="48"/>
      <c r="C99" s="49">
        <f>SUMIF($B2:B92,"Sam's Club",$E2:E92)+SUMIF($B2:B92,"Sam's Club",$G2:G92)-C95</f>
        <v>791.69</v>
      </c>
      <c r="D99" s="10"/>
      <c r="E99" s="10"/>
      <c r="F99" s="10"/>
      <c r="G99" s="11"/>
    </row>
  </sheetData>
  <autoFilter ref="A1:G91" xr:uid="{55C6C991-3FFE-4866-967D-4139DF94C020}">
    <sortState xmlns:xlrd2="http://schemas.microsoft.com/office/spreadsheetml/2017/richdata2" ref="A2:G15">
      <sortCondition ref="B1"/>
    </sortState>
  </autoFilter>
  <dataConsolidate/>
  <mergeCells count="7">
    <mergeCell ref="A99:B99"/>
    <mergeCell ref="A93:B93"/>
    <mergeCell ref="A94:B94"/>
    <mergeCell ref="A95:B95"/>
    <mergeCell ref="A96:B96"/>
    <mergeCell ref="A97:B97"/>
    <mergeCell ref="A98:B98"/>
  </mergeCells>
  <dataValidations count="11">
    <dataValidation type="date" allowBlank="1" showInputMessage="1" showErrorMessage="1" sqref="A11:A21" xr:uid="{30357B09-4C15-4DCF-BA19-9B302C7F0FAB}">
      <formula1>A11</formula1>
      <formula2>A121</formula2>
    </dataValidation>
    <dataValidation type="date" allowBlank="1" showInputMessage="1" showErrorMessage="1" sqref="A39" xr:uid="{4BACA762-158A-4B16-AE1E-CD17662D157B}">
      <formula1>A39</formula1>
      <formula2>A99</formula2>
    </dataValidation>
    <dataValidation type="date" allowBlank="1" showInputMessage="1" showErrorMessage="1" sqref="A22:A28 A32" xr:uid="{AD6A9703-DB44-417E-8DB7-7EF16A22741F}">
      <formula1>A22</formula1>
      <formula2>A118</formula2>
    </dataValidation>
    <dataValidation type="date" allowBlank="1" showInputMessage="1" showErrorMessage="1" sqref="A91" xr:uid="{B6F0FF34-9715-4362-8E40-764B19495766}">
      <formula1>A91</formula1>
      <formula2>A126</formula2>
    </dataValidation>
    <dataValidation type="date" allowBlank="1" showInputMessage="1" showErrorMessage="1" sqref="A2:A5" xr:uid="{31CA4747-D9D8-4622-B7DB-555ED0E2D9BE}">
      <formula1>A2</formula1>
      <formula2>A137</formula2>
    </dataValidation>
    <dataValidation type="date" allowBlank="1" showInputMessage="1" showErrorMessage="1" sqref="A6:A10" xr:uid="{DCAAAE60-6E87-44E2-8693-A17D81FF0CF7}">
      <formula1>A6</formula1>
      <formula2>A120</formula2>
    </dataValidation>
    <dataValidation type="date" allowBlank="1" showInputMessage="1" showErrorMessage="1" sqref="A29:A31 A33:A36" xr:uid="{1327F7AF-164E-4535-A999-03221AA030D8}">
      <formula1>A29</formula1>
      <formula2>A118</formula2>
    </dataValidation>
    <dataValidation type="date" allowBlank="1" showInputMessage="1" showErrorMessage="1" sqref="A37:A38 A40:A54" xr:uid="{BAAF8F90-E795-4ADC-B312-972BD1E75DBA}">
      <formula1>A37</formula1>
      <formula2>#REF!</formula2>
    </dataValidation>
    <dataValidation type="list" allowBlank="1" showInputMessage="1" showErrorMessage="1" sqref="C2:C92" xr:uid="{0F1AC8D2-C63C-4CBA-863F-A48E5BDEBE47}">
      <formula1>StoresDescription</formula1>
    </dataValidation>
    <dataValidation type="list" allowBlank="1" showInputMessage="1" showErrorMessage="1" sqref="D2:D92" xr:uid="{5D30CE38-7B02-457A-9C77-63863518FB6F}">
      <formula1>ItemsDescription</formula1>
    </dataValidation>
    <dataValidation type="list" allowBlank="1" showInputMessage="1" showErrorMessage="1" sqref="B2:B92" xr:uid="{F2163536-14FE-472E-8C46-1DD90954FC5C}">
      <formula1>CCUsed</formula1>
    </dataValidation>
  </dataValidations>
  <pageMargins left="0.25" right="0.25" top="0.75" bottom="0.75" header="0.3" footer="0.3"/>
  <pageSetup paperSize="3"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8112-F6EA-4E4B-939A-679396280BC9}">
  <sheetPr codeName="Sheet7">
    <pageSetUpPr fitToPage="1"/>
  </sheetPr>
  <dimension ref="A1:J119"/>
  <sheetViews>
    <sheetView zoomScaleNormal="100" zoomScaleSheetLayoutView="62" workbookViewId="0">
      <pane ySplit="1" topLeftCell="A50" activePane="bottomLeft" state="frozen"/>
      <selection activeCell="C4" sqref="C4"/>
      <selection pane="bottomLeft" activeCell="I27" sqref="I27"/>
    </sheetView>
  </sheetViews>
  <sheetFormatPr defaultRowHeight="15" x14ac:dyDescent="0.25"/>
  <cols>
    <col min="1" max="1" width="13.42578125" style="1" customWidth="1"/>
    <col min="2" max="2" width="15" style="1" customWidth="1"/>
    <col min="3" max="3" width="13.5703125" style="1" customWidth="1"/>
    <col min="4" max="4" width="16.85546875" style="12" customWidth="1"/>
    <col min="5" max="6" width="10.5703125" bestFit="1" customWidth="1"/>
    <col min="7" max="7" width="8" bestFit="1" customWidth="1"/>
    <col min="8" max="8" width="18.140625" bestFit="1" customWidth="1"/>
    <col min="9" max="9" width="20.28515625" bestFit="1" customWidth="1"/>
    <col min="10" max="10" width="10.5703125" bestFit="1" customWidth="1"/>
  </cols>
  <sheetData>
    <row r="1" spans="1:10" x14ac:dyDescent="0.25">
      <c r="A1" s="53" t="s">
        <v>0</v>
      </c>
      <c r="B1" s="54" t="s">
        <v>24</v>
      </c>
      <c r="C1" s="55" t="s">
        <v>1</v>
      </c>
      <c r="D1" s="56" t="s">
        <v>2</v>
      </c>
      <c r="E1" s="33" t="s">
        <v>25</v>
      </c>
      <c r="F1" s="33" t="s">
        <v>26</v>
      </c>
      <c r="G1" s="34" t="s">
        <v>30</v>
      </c>
    </row>
    <row r="2" spans="1:10" x14ac:dyDescent="0.25">
      <c r="A2" s="57">
        <v>45822</v>
      </c>
      <c r="B2" s="58" t="s">
        <v>23</v>
      </c>
      <c r="C2" s="59" t="s">
        <v>12</v>
      </c>
      <c r="D2" s="60" t="s">
        <v>3</v>
      </c>
      <c r="E2" s="38">
        <v>2.54</v>
      </c>
      <c r="F2" s="3"/>
      <c r="G2" s="14"/>
    </row>
    <row r="3" spans="1:10" x14ac:dyDescent="0.25">
      <c r="A3" s="57">
        <v>45822</v>
      </c>
      <c r="B3" s="58" t="s">
        <v>23</v>
      </c>
      <c r="C3" s="59" t="s">
        <v>62</v>
      </c>
      <c r="D3" s="60" t="s">
        <v>84</v>
      </c>
      <c r="E3" s="38">
        <v>160</v>
      </c>
      <c r="F3" s="3"/>
      <c r="G3" s="6"/>
    </row>
    <row r="4" spans="1:10" x14ac:dyDescent="0.25">
      <c r="A4" s="57">
        <v>45824</v>
      </c>
      <c r="B4" s="58" t="s">
        <v>23</v>
      </c>
      <c r="C4" s="59" t="s">
        <v>12</v>
      </c>
      <c r="D4" s="60" t="s">
        <v>3</v>
      </c>
      <c r="E4" s="3"/>
      <c r="F4" s="38">
        <v>6.96</v>
      </c>
      <c r="G4" s="6"/>
    </row>
    <row r="5" spans="1:10" x14ac:dyDescent="0.25">
      <c r="A5" s="57">
        <v>45824</v>
      </c>
      <c r="B5" s="58" t="s">
        <v>23</v>
      </c>
      <c r="C5" s="59" t="s">
        <v>98</v>
      </c>
      <c r="D5" s="60" t="s">
        <v>81</v>
      </c>
      <c r="E5" s="38">
        <v>30</v>
      </c>
      <c r="F5" s="3"/>
      <c r="G5" s="6"/>
      <c r="I5" s="39" t="s">
        <v>81</v>
      </c>
      <c r="J5" s="38">
        <f t="shared" ref="J5:J11" si="0">SUMIF($D$2:$D$112,I5,$E$2:$E$112)-SUMIF($D$2:$D$112,I5,$F$2:$F$112)</f>
        <v>912.16000000000008</v>
      </c>
    </row>
    <row r="6" spans="1:10" x14ac:dyDescent="0.25">
      <c r="A6" s="57">
        <v>45824</v>
      </c>
      <c r="B6" s="58" t="s">
        <v>23</v>
      </c>
      <c r="C6" s="59" t="s">
        <v>7</v>
      </c>
      <c r="D6" s="60" t="s">
        <v>81</v>
      </c>
      <c r="E6" s="38">
        <v>12.06</v>
      </c>
      <c r="F6" s="3"/>
      <c r="G6" s="6"/>
      <c r="I6" s="39" t="s">
        <v>5</v>
      </c>
      <c r="J6" s="38">
        <f t="shared" si="0"/>
        <v>27</v>
      </c>
    </row>
    <row r="7" spans="1:10" x14ac:dyDescent="0.25">
      <c r="A7" s="57">
        <v>45824</v>
      </c>
      <c r="B7" s="58" t="s">
        <v>23</v>
      </c>
      <c r="C7" s="59" t="s">
        <v>7</v>
      </c>
      <c r="D7" s="60" t="s">
        <v>81</v>
      </c>
      <c r="E7" s="38">
        <v>91.64</v>
      </c>
      <c r="F7" s="38">
        <f>18.77*3</f>
        <v>56.31</v>
      </c>
      <c r="G7" s="6"/>
      <c r="I7" s="39" t="s">
        <v>6</v>
      </c>
      <c r="J7" s="38">
        <f t="shared" si="0"/>
        <v>283.58000000000004</v>
      </c>
    </row>
    <row r="8" spans="1:10" x14ac:dyDescent="0.25">
      <c r="A8" s="57">
        <v>45824</v>
      </c>
      <c r="B8" s="58" t="s">
        <v>23</v>
      </c>
      <c r="C8" s="59" t="s">
        <v>47</v>
      </c>
      <c r="D8" s="60" t="s">
        <v>4</v>
      </c>
      <c r="E8" s="38">
        <v>152.16</v>
      </c>
      <c r="F8" s="3"/>
      <c r="G8" s="6"/>
      <c r="I8" s="39" t="s">
        <v>15</v>
      </c>
      <c r="J8" s="38">
        <f t="shared" si="0"/>
        <v>349.71999999999991</v>
      </c>
    </row>
    <row r="9" spans="1:10" x14ac:dyDescent="0.25">
      <c r="A9" s="57">
        <v>45824</v>
      </c>
      <c r="B9" s="58" t="s">
        <v>23</v>
      </c>
      <c r="C9" s="59" t="s">
        <v>27</v>
      </c>
      <c r="D9" s="60" t="s">
        <v>81</v>
      </c>
      <c r="E9" s="38">
        <v>176.76</v>
      </c>
      <c r="F9" s="3"/>
      <c r="G9" s="6"/>
      <c r="I9" s="39" t="s">
        <v>3</v>
      </c>
      <c r="J9" s="38">
        <f t="shared" si="0"/>
        <v>452.16</v>
      </c>
    </row>
    <row r="10" spans="1:10" x14ac:dyDescent="0.25">
      <c r="A10" s="57">
        <v>45824</v>
      </c>
      <c r="B10" s="58" t="s">
        <v>23</v>
      </c>
      <c r="C10" s="59" t="s">
        <v>27</v>
      </c>
      <c r="D10" s="60" t="s">
        <v>81</v>
      </c>
      <c r="E10" s="38">
        <v>97.18</v>
      </c>
      <c r="F10" s="3"/>
      <c r="G10" s="6"/>
      <c r="I10" s="39" t="s">
        <v>4</v>
      </c>
      <c r="J10" s="38">
        <f t="shared" si="0"/>
        <v>1327.43</v>
      </c>
    </row>
    <row r="11" spans="1:10" x14ac:dyDescent="0.25">
      <c r="A11" s="57">
        <v>45824</v>
      </c>
      <c r="B11" s="58" t="s">
        <v>23</v>
      </c>
      <c r="C11" s="59" t="s">
        <v>27</v>
      </c>
      <c r="D11" s="60" t="s">
        <v>81</v>
      </c>
      <c r="E11" s="38">
        <v>120.41</v>
      </c>
      <c r="F11" s="3"/>
      <c r="G11" s="6"/>
      <c r="I11" s="39" t="s">
        <v>84</v>
      </c>
      <c r="J11" s="38">
        <f t="shared" si="0"/>
        <v>510.94</v>
      </c>
    </row>
    <row r="12" spans="1:10" x14ac:dyDescent="0.25">
      <c r="A12" s="57">
        <v>45824</v>
      </c>
      <c r="B12" s="58" t="s">
        <v>23</v>
      </c>
      <c r="C12" s="59" t="s">
        <v>27</v>
      </c>
      <c r="D12" s="60" t="s">
        <v>81</v>
      </c>
      <c r="E12" s="38">
        <v>176.76</v>
      </c>
      <c r="F12" s="3"/>
      <c r="G12" s="6"/>
      <c r="I12" s="39" t="s">
        <v>30</v>
      </c>
      <c r="J12" s="38">
        <f>SUMIF($D$2:$D$112,I12,$G$2:$G$112)-SUMIF($D$2:$D$112,I12,$F$2:$F$112)</f>
        <v>0</v>
      </c>
    </row>
    <row r="13" spans="1:10" x14ac:dyDescent="0.25">
      <c r="A13" s="57">
        <v>45824</v>
      </c>
      <c r="B13" s="58" t="s">
        <v>23</v>
      </c>
      <c r="C13" s="59" t="s">
        <v>27</v>
      </c>
      <c r="D13" s="60" t="s">
        <v>81</v>
      </c>
      <c r="E13" s="38">
        <v>33.14</v>
      </c>
      <c r="F13" s="3"/>
      <c r="G13" s="9"/>
    </row>
    <row r="14" spans="1:10" x14ac:dyDescent="0.25">
      <c r="A14" s="57">
        <v>45825</v>
      </c>
      <c r="B14" s="58" t="s">
        <v>23</v>
      </c>
      <c r="C14" s="59" t="s">
        <v>12</v>
      </c>
      <c r="D14" s="60" t="s">
        <v>3</v>
      </c>
      <c r="E14" s="38">
        <v>1.53</v>
      </c>
      <c r="F14" s="3"/>
      <c r="G14" s="6"/>
    </row>
    <row r="15" spans="1:10" x14ac:dyDescent="0.25">
      <c r="A15" s="57">
        <v>45825</v>
      </c>
      <c r="B15" s="58" t="s">
        <v>23</v>
      </c>
      <c r="C15" s="59" t="s">
        <v>12</v>
      </c>
      <c r="D15" s="60" t="s">
        <v>3</v>
      </c>
      <c r="E15" s="38">
        <v>3.05</v>
      </c>
      <c r="F15" s="3"/>
      <c r="G15" s="6"/>
    </row>
    <row r="16" spans="1:10" x14ac:dyDescent="0.25">
      <c r="A16" s="57">
        <v>45825</v>
      </c>
      <c r="B16" s="58" t="s">
        <v>23</v>
      </c>
      <c r="C16" s="59" t="s">
        <v>12</v>
      </c>
      <c r="D16" s="60" t="s">
        <v>3</v>
      </c>
      <c r="E16" s="38">
        <v>5.13</v>
      </c>
      <c r="F16" s="3"/>
      <c r="G16" s="6"/>
    </row>
    <row r="17" spans="1:7" x14ac:dyDescent="0.25">
      <c r="A17" s="57">
        <v>45825</v>
      </c>
      <c r="B17" s="58" t="s">
        <v>23</v>
      </c>
      <c r="C17" s="59" t="s">
        <v>7</v>
      </c>
      <c r="D17" s="60" t="s">
        <v>81</v>
      </c>
      <c r="E17" s="38">
        <v>52.98</v>
      </c>
      <c r="F17" s="38">
        <v>12.06</v>
      </c>
      <c r="G17" s="6"/>
    </row>
    <row r="18" spans="1:7" x14ac:dyDescent="0.25">
      <c r="A18" s="57">
        <v>45825</v>
      </c>
      <c r="B18" s="58" t="s">
        <v>23</v>
      </c>
      <c r="C18" s="59" t="s">
        <v>27</v>
      </c>
      <c r="D18" s="60" t="s">
        <v>81</v>
      </c>
      <c r="E18" s="38">
        <v>44.19</v>
      </c>
      <c r="F18" s="3"/>
      <c r="G18" s="6"/>
    </row>
    <row r="19" spans="1:7" x14ac:dyDescent="0.25">
      <c r="A19" s="57">
        <v>45826</v>
      </c>
      <c r="B19" s="58" t="s">
        <v>23</v>
      </c>
      <c r="C19" s="59" t="s">
        <v>12</v>
      </c>
      <c r="D19" s="60" t="s">
        <v>3</v>
      </c>
      <c r="E19" s="38">
        <v>36.75</v>
      </c>
      <c r="F19" s="38">
        <v>36.75</v>
      </c>
      <c r="G19" s="6"/>
    </row>
    <row r="20" spans="1:7" x14ac:dyDescent="0.25">
      <c r="A20" s="57">
        <v>45827</v>
      </c>
      <c r="B20" s="58" t="s">
        <v>23</v>
      </c>
      <c r="C20" s="59" t="s">
        <v>12</v>
      </c>
      <c r="D20" s="60" t="s">
        <v>3</v>
      </c>
      <c r="E20" s="38">
        <v>11.67</v>
      </c>
      <c r="F20" s="3"/>
      <c r="G20" s="6"/>
    </row>
    <row r="21" spans="1:7" x14ac:dyDescent="0.25">
      <c r="A21" s="57">
        <v>45827</v>
      </c>
      <c r="B21" s="58" t="s">
        <v>23</v>
      </c>
      <c r="C21" s="59" t="s">
        <v>7</v>
      </c>
      <c r="D21" s="60" t="s">
        <v>81</v>
      </c>
      <c r="E21" s="3"/>
      <c r="F21" s="38">
        <v>6.62</v>
      </c>
      <c r="G21" s="6"/>
    </row>
    <row r="22" spans="1:7" x14ac:dyDescent="0.25">
      <c r="A22" s="57">
        <v>45827</v>
      </c>
      <c r="B22" s="58" t="s">
        <v>23</v>
      </c>
      <c r="C22" s="59" t="s">
        <v>62</v>
      </c>
      <c r="D22" s="60" t="s">
        <v>84</v>
      </c>
      <c r="E22" s="38">
        <v>30.94</v>
      </c>
      <c r="F22" s="3"/>
      <c r="G22" s="6"/>
    </row>
    <row r="23" spans="1:7" x14ac:dyDescent="0.25">
      <c r="A23" s="57">
        <v>45828</v>
      </c>
      <c r="B23" s="58" t="s">
        <v>23</v>
      </c>
      <c r="C23" s="59" t="s">
        <v>66</v>
      </c>
      <c r="D23" s="60" t="s">
        <v>6</v>
      </c>
      <c r="E23" s="38">
        <v>5.17</v>
      </c>
      <c r="F23" s="3"/>
      <c r="G23" s="6"/>
    </row>
    <row r="24" spans="1:7" x14ac:dyDescent="0.25">
      <c r="A24" s="57">
        <v>45831</v>
      </c>
      <c r="B24" s="58" t="s">
        <v>23</v>
      </c>
      <c r="C24" s="59" t="s">
        <v>7</v>
      </c>
      <c r="D24" s="60" t="s">
        <v>81</v>
      </c>
      <c r="E24" s="3"/>
      <c r="F24" s="38">
        <v>77.34</v>
      </c>
      <c r="G24" s="6"/>
    </row>
    <row r="25" spans="1:7" x14ac:dyDescent="0.25">
      <c r="A25" s="57">
        <v>45831</v>
      </c>
      <c r="B25" s="58" t="s">
        <v>23</v>
      </c>
      <c r="C25" s="59" t="s">
        <v>94</v>
      </c>
      <c r="D25" s="60" t="s">
        <v>81</v>
      </c>
      <c r="E25" s="38">
        <v>3</v>
      </c>
      <c r="F25" s="3"/>
      <c r="G25" s="6"/>
    </row>
    <row r="26" spans="1:7" x14ac:dyDescent="0.25">
      <c r="A26" s="57">
        <v>45831</v>
      </c>
      <c r="B26" s="58" t="s">
        <v>23</v>
      </c>
      <c r="C26" s="59" t="s">
        <v>94</v>
      </c>
      <c r="D26" s="60" t="s">
        <v>81</v>
      </c>
      <c r="E26" s="38">
        <v>3</v>
      </c>
      <c r="F26" s="3"/>
      <c r="G26" s="6"/>
    </row>
    <row r="27" spans="1:7" x14ac:dyDescent="0.25">
      <c r="A27" s="57">
        <v>45831</v>
      </c>
      <c r="B27" s="58" t="s">
        <v>23</v>
      </c>
      <c r="C27" s="59" t="s">
        <v>94</v>
      </c>
      <c r="D27" s="60" t="s">
        <v>81</v>
      </c>
      <c r="E27" s="38">
        <v>189.11</v>
      </c>
      <c r="F27" s="3"/>
      <c r="G27" s="6"/>
    </row>
    <row r="28" spans="1:7" x14ac:dyDescent="0.25">
      <c r="A28" s="57">
        <v>45831</v>
      </c>
      <c r="B28" s="58" t="s">
        <v>23</v>
      </c>
      <c r="C28" s="59" t="s">
        <v>94</v>
      </c>
      <c r="D28" s="60" t="s">
        <v>81</v>
      </c>
      <c r="E28" s="38">
        <v>189.11</v>
      </c>
      <c r="F28" s="3"/>
      <c r="G28" s="6"/>
    </row>
    <row r="29" spans="1:7" x14ac:dyDescent="0.25">
      <c r="A29" s="57">
        <v>45831</v>
      </c>
      <c r="B29" s="61" t="s">
        <v>23</v>
      </c>
      <c r="C29" s="59" t="s">
        <v>14</v>
      </c>
      <c r="D29" s="60" t="s">
        <v>5</v>
      </c>
      <c r="E29" s="38">
        <v>27</v>
      </c>
      <c r="F29" s="3"/>
      <c r="G29" s="6"/>
    </row>
    <row r="30" spans="1:7" x14ac:dyDescent="0.25">
      <c r="A30" s="57">
        <v>45833</v>
      </c>
      <c r="B30" s="58" t="s">
        <v>23</v>
      </c>
      <c r="C30" s="59" t="s">
        <v>12</v>
      </c>
      <c r="D30" s="60" t="s">
        <v>3</v>
      </c>
      <c r="E30" s="38">
        <v>4.5</v>
      </c>
      <c r="F30" s="3"/>
      <c r="G30" s="6"/>
    </row>
    <row r="31" spans="1:7" x14ac:dyDescent="0.25">
      <c r="A31" s="57">
        <v>45834</v>
      </c>
      <c r="B31" s="58" t="s">
        <v>23</v>
      </c>
      <c r="C31" s="59" t="s">
        <v>12</v>
      </c>
      <c r="D31" s="60" t="s">
        <v>3</v>
      </c>
      <c r="E31" s="38">
        <v>5.07</v>
      </c>
      <c r="F31" s="3"/>
      <c r="G31" s="6"/>
    </row>
    <row r="32" spans="1:7" x14ac:dyDescent="0.25">
      <c r="A32" s="57">
        <v>45834</v>
      </c>
      <c r="B32" s="58" t="s">
        <v>23</v>
      </c>
      <c r="C32" s="59" t="s">
        <v>59</v>
      </c>
      <c r="D32" s="60" t="s">
        <v>3</v>
      </c>
      <c r="E32" s="38">
        <v>10.18</v>
      </c>
      <c r="F32" s="3"/>
      <c r="G32" s="6"/>
    </row>
    <row r="33" spans="1:7" x14ac:dyDescent="0.25">
      <c r="A33" s="57">
        <v>45835</v>
      </c>
      <c r="B33" s="58" t="s">
        <v>23</v>
      </c>
      <c r="C33" s="59" t="s">
        <v>12</v>
      </c>
      <c r="D33" s="60" t="s">
        <v>3</v>
      </c>
      <c r="E33" s="38">
        <v>32.020000000000003</v>
      </c>
      <c r="F33" s="3"/>
      <c r="G33" s="6"/>
    </row>
    <row r="34" spans="1:7" x14ac:dyDescent="0.25">
      <c r="A34" s="57">
        <v>45836</v>
      </c>
      <c r="B34" s="58" t="s">
        <v>23</v>
      </c>
      <c r="C34" s="59" t="s">
        <v>12</v>
      </c>
      <c r="D34" s="60" t="s">
        <v>3</v>
      </c>
      <c r="E34" s="38">
        <v>11.92</v>
      </c>
      <c r="F34" s="3"/>
      <c r="G34" s="6"/>
    </row>
    <row r="35" spans="1:7" x14ac:dyDescent="0.25">
      <c r="A35" s="57">
        <v>45836</v>
      </c>
      <c r="B35" s="58" t="s">
        <v>23</v>
      </c>
      <c r="C35" s="59" t="s">
        <v>12</v>
      </c>
      <c r="D35" s="60" t="s">
        <v>3</v>
      </c>
      <c r="E35" s="38">
        <v>6.94</v>
      </c>
      <c r="F35" s="3"/>
      <c r="G35" s="6"/>
    </row>
    <row r="36" spans="1:7" x14ac:dyDescent="0.25">
      <c r="A36" s="57">
        <v>45836</v>
      </c>
      <c r="B36" s="58" t="s">
        <v>23</v>
      </c>
      <c r="C36" s="59" t="s">
        <v>47</v>
      </c>
      <c r="D36" s="60" t="s">
        <v>4</v>
      </c>
      <c r="E36" s="38">
        <v>1038.92</v>
      </c>
      <c r="F36" s="3"/>
      <c r="G36" s="6"/>
    </row>
    <row r="37" spans="1:7" x14ac:dyDescent="0.25">
      <c r="A37" s="57">
        <v>45836</v>
      </c>
      <c r="B37" s="58" t="s">
        <v>23</v>
      </c>
      <c r="C37" s="59" t="s">
        <v>66</v>
      </c>
      <c r="D37" s="60" t="s">
        <v>6</v>
      </c>
      <c r="E37" s="38">
        <v>4.71</v>
      </c>
      <c r="F37" s="3"/>
      <c r="G37" s="6"/>
    </row>
    <row r="38" spans="1:7" x14ac:dyDescent="0.25">
      <c r="A38" s="57">
        <v>45836</v>
      </c>
      <c r="B38" s="58" t="s">
        <v>23</v>
      </c>
      <c r="C38" s="59" t="s">
        <v>40</v>
      </c>
      <c r="D38" s="60" t="s">
        <v>4</v>
      </c>
      <c r="E38" s="38">
        <v>6.41</v>
      </c>
      <c r="F38" s="3"/>
      <c r="G38" s="6"/>
    </row>
    <row r="39" spans="1:7" x14ac:dyDescent="0.25">
      <c r="A39" s="57">
        <v>45836</v>
      </c>
      <c r="B39" s="58" t="s">
        <v>23</v>
      </c>
      <c r="C39" s="59" t="s">
        <v>102</v>
      </c>
      <c r="D39" s="60" t="s">
        <v>81</v>
      </c>
      <c r="E39" s="38">
        <v>10.85</v>
      </c>
      <c r="F39" s="3"/>
      <c r="G39" s="6"/>
    </row>
    <row r="40" spans="1:7" x14ac:dyDescent="0.25">
      <c r="A40" s="57">
        <v>45836</v>
      </c>
      <c r="B40" s="58" t="s">
        <v>23</v>
      </c>
      <c r="C40" s="59" t="s">
        <v>12</v>
      </c>
      <c r="D40" s="60" t="s">
        <v>3</v>
      </c>
      <c r="E40" s="38">
        <v>12.68</v>
      </c>
      <c r="F40" s="3"/>
      <c r="G40" s="6"/>
    </row>
    <row r="41" spans="1:7" x14ac:dyDescent="0.25">
      <c r="A41" s="57">
        <v>45836</v>
      </c>
      <c r="B41" s="58" t="s">
        <v>23</v>
      </c>
      <c r="C41" s="59" t="s">
        <v>62</v>
      </c>
      <c r="D41" s="60" t="s">
        <v>84</v>
      </c>
      <c r="E41" s="38">
        <v>160</v>
      </c>
      <c r="F41" s="3"/>
      <c r="G41" s="6"/>
    </row>
    <row r="42" spans="1:7" x14ac:dyDescent="0.25">
      <c r="A42" s="57">
        <v>45838</v>
      </c>
      <c r="B42" s="58" t="s">
        <v>23</v>
      </c>
      <c r="C42" s="59" t="s">
        <v>12</v>
      </c>
      <c r="D42" s="60" t="s">
        <v>3</v>
      </c>
      <c r="E42" s="38">
        <v>30.48</v>
      </c>
      <c r="F42" s="3"/>
      <c r="G42" s="6"/>
    </row>
    <row r="43" spans="1:7" x14ac:dyDescent="0.25">
      <c r="A43" s="57">
        <v>45838</v>
      </c>
      <c r="B43" s="58" t="s">
        <v>23</v>
      </c>
      <c r="C43" s="59" t="s">
        <v>12</v>
      </c>
      <c r="D43" s="60" t="s">
        <v>3</v>
      </c>
      <c r="E43" s="38">
        <v>21.53</v>
      </c>
      <c r="F43" s="3"/>
      <c r="G43" s="6"/>
    </row>
    <row r="44" spans="1:7" x14ac:dyDescent="0.25">
      <c r="A44" s="57">
        <v>45838</v>
      </c>
      <c r="B44" s="58" t="s">
        <v>23</v>
      </c>
      <c r="C44" s="59" t="s">
        <v>12</v>
      </c>
      <c r="D44" s="60" t="s">
        <v>3</v>
      </c>
      <c r="E44" s="38">
        <v>6.8</v>
      </c>
      <c r="F44" s="3"/>
      <c r="G44" s="6"/>
    </row>
    <row r="45" spans="1:7" x14ac:dyDescent="0.25">
      <c r="A45" s="57">
        <v>45839</v>
      </c>
      <c r="B45" s="58" t="s">
        <v>23</v>
      </c>
      <c r="C45" s="59" t="s">
        <v>12</v>
      </c>
      <c r="D45" s="60" t="s">
        <v>3</v>
      </c>
      <c r="E45" s="38">
        <v>3.52</v>
      </c>
      <c r="F45" s="3"/>
      <c r="G45" s="6"/>
    </row>
    <row r="46" spans="1:7" x14ac:dyDescent="0.25">
      <c r="A46" s="57">
        <v>45839</v>
      </c>
      <c r="B46" s="58" t="s">
        <v>23</v>
      </c>
      <c r="C46" s="59" t="s">
        <v>12</v>
      </c>
      <c r="D46" s="60" t="s">
        <v>3</v>
      </c>
      <c r="E46" s="38">
        <v>6.22</v>
      </c>
      <c r="F46" s="3"/>
      <c r="G46" s="6"/>
    </row>
    <row r="47" spans="1:7" x14ac:dyDescent="0.25">
      <c r="A47" s="57">
        <v>45841</v>
      </c>
      <c r="B47" s="58" t="s">
        <v>23</v>
      </c>
      <c r="C47" s="59" t="s">
        <v>108</v>
      </c>
      <c r="D47" s="60" t="s">
        <v>81</v>
      </c>
      <c r="E47" s="38">
        <v>85.64</v>
      </c>
      <c r="F47" s="3"/>
      <c r="G47" s="6"/>
    </row>
    <row r="48" spans="1:7" ht="30" x14ac:dyDescent="0.25">
      <c r="A48" s="57">
        <v>45841</v>
      </c>
      <c r="B48" s="58" t="s">
        <v>23</v>
      </c>
      <c r="C48" s="59" t="s">
        <v>38</v>
      </c>
      <c r="D48" s="60" t="s">
        <v>3</v>
      </c>
      <c r="E48" s="38">
        <v>17.420000000000002</v>
      </c>
      <c r="F48" s="3"/>
      <c r="G48" s="6"/>
    </row>
    <row r="49" spans="1:7" x14ac:dyDescent="0.25">
      <c r="A49" s="57">
        <v>45841</v>
      </c>
      <c r="B49" s="58" t="s">
        <v>23</v>
      </c>
      <c r="C49" s="59" t="s">
        <v>12</v>
      </c>
      <c r="D49" s="60" t="s">
        <v>3</v>
      </c>
      <c r="E49" s="38">
        <v>19.48</v>
      </c>
      <c r="F49" s="3"/>
      <c r="G49" s="6"/>
    </row>
    <row r="50" spans="1:7" x14ac:dyDescent="0.25">
      <c r="A50" s="57">
        <v>45842</v>
      </c>
      <c r="B50" s="58" t="s">
        <v>23</v>
      </c>
      <c r="C50" s="59" t="s">
        <v>12</v>
      </c>
      <c r="D50" s="60" t="s">
        <v>3</v>
      </c>
      <c r="E50" s="38">
        <v>4.22</v>
      </c>
      <c r="F50" s="3"/>
      <c r="G50" s="6"/>
    </row>
    <row r="51" spans="1:7" x14ac:dyDescent="0.25">
      <c r="A51" s="57">
        <v>45842</v>
      </c>
      <c r="B51" s="58" t="s">
        <v>23</v>
      </c>
      <c r="C51" s="59" t="s">
        <v>27</v>
      </c>
      <c r="D51" s="60" t="s">
        <v>81</v>
      </c>
      <c r="E51" s="3"/>
      <c r="F51" s="38">
        <v>309.33</v>
      </c>
      <c r="G51" s="6"/>
    </row>
    <row r="52" spans="1:7" x14ac:dyDescent="0.25">
      <c r="A52" s="57">
        <v>45843</v>
      </c>
      <c r="B52" s="58" t="s">
        <v>23</v>
      </c>
      <c r="C52" s="59" t="s">
        <v>12</v>
      </c>
      <c r="D52" s="60" t="s">
        <v>15</v>
      </c>
      <c r="E52" s="38">
        <v>24.47</v>
      </c>
      <c r="F52" s="3"/>
      <c r="G52" s="6"/>
    </row>
    <row r="53" spans="1:7" x14ac:dyDescent="0.25">
      <c r="A53" s="57">
        <v>45843</v>
      </c>
      <c r="B53" s="58" t="s">
        <v>23</v>
      </c>
      <c r="C53" s="59" t="s">
        <v>12</v>
      </c>
      <c r="D53" s="60" t="s">
        <v>3</v>
      </c>
      <c r="E53" s="3"/>
      <c r="F53" s="38">
        <v>9.91</v>
      </c>
      <c r="G53" s="6"/>
    </row>
    <row r="54" spans="1:7" x14ac:dyDescent="0.25">
      <c r="A54" s="57">
        <v>45843</v>
      </c>
      <c r="B54" s="58" t="s">
        <v>23</v>
      </c>
      <c r="C54" s="59" t="s">
        <v>12</v>
      </c>
      <c r="D54" s="60" t="s">
        <v>3</v>
      </c>
      <c r="E54" s="3"/>
      <c r="F54" s="38">
        <v>10.23</v>
      </c>
      <c r="G54" s="6"/>
    </row>
    <row r="55" spans="1:7" x14ac:dyDescent="0.25">
      <c r="A55" s="57">
        <v>45843</v>
      </c>
      <c r="B55" s="58" t="s">
        <v>23</v>
      </c>
      <c r="C55" s="59" t="s">
        <v>12</v>
      </c>
      <c r="D55" s="60" t="s">
        <v>3</v>
      </c>
      <c r="E55" s="3"/>
      <c r="F55" s="38">
        <v>10.34</v>
      </c>
      <c r="G55" s="6"/>
    </row>
    <row r="56" spans="1:7" x14ac:dyDescent="0.25">
      <c r="A56" s="57">
        <v>45843</v>
      </c>
      <c r="B56" s="58" t="s">
        <v>23</v>
      </c>
      <c r="C56" s="59" t="s">
        <v>12</v>
      </c>
      <c r="D56" s="60" t="s">
        <v>3</v>
      </c>
      <c r="E56" s="38">
        <v>4.28</v>
      </c>
      <c r="F56" s="3"/>
      <c r="G56" s="6"/>
    </row>
    <row r="57" spans="1:7" x14ac:dyDescent="0.25">
      <c r="A57" s="57">
        <v>45843</v>
      </c>
      <c r="B57" s="58" t="s">
        <v>23</v>
      </c>
      <c r="C57" s="59" t="s">
        <v>47</v>
      </c>
      <c r="D57" s="60" t="s">
        <v>4</v>
      </c>
      <c r="E57" s="38">
        <v>69.959999999999994</v>
      </c>
      <c r="F57" s="3"/>
      <c r="G57" s="6"/>
    </row>
    <row r="58" spans="1:7" x14ac:dyDescent="0.25">
      <c r="A58" s="57">
        <v>45843</v>
      </c>
      <c r="B58" s="58" t="s">
        <v>23</v>
      </c>
      <c r="C58" s="59" t="s">
        <v>47</v>
      </c>
      <c r="D58" s="60" t="s">
        <v>4</v>
      </c>
      <c r="E58" s="38">
        <v>4.3499999999999996</v>
      </c>
      <c r="F58" s="3"/>
      <c r="G58" s="6"/>
    </row>
    <row r="59" spans="1:7" x14ac:dyDescent="0.25">
      <c r="A59" s="57">
        <v>45843</v>
      </c>
      <c r="B59" s="58" t="s">
        <v>23</v>
      </c>
      <c r="C59" s="59" t="s">
        <v>43</v>
      </c>
      <c r="D59" s="60" t="s">
        <v>3</v>
      </c>
      <c r="E59" s="38">
        <v>7.49</v>
      </c>
      <c r="F59" s="3"/>
      <c r="G59" s="6"/>
    </row>
    <row r="60" spans="1:7" x14ac:dyDescent="0.25">
      <c r="A60" s="57">
        <v>45845</v>
      </c>
      <c r="B60" s="58" t="s">
        <v>23</v>
      </c>
      <c r="C60" s="59" t="s">
        <v>13</v>
      </c>
      <c r="D60" s="60" t="s">
        <v>3</v>
      </c>
      <c r="E60" s="3"/>
      <c r="F60" s="38">
        <v>33.119999999999997</v>
      </c>
      <c r="G60" s="6"/>
    </row>
    <row r="61" spans="1:7" x14ac:dyDescent="0.25">
      <c r="A61" s="57">
        <v>45845</v>
      </c>
      <c r="B61" s="58" t="s">
        <v>23</v>
      </c>
      <c r="C61" s="59" t="s">
        <v>12</v>
      </c>
      <c r="D61" s="60" t="s">
        <v>3</v>
      </c>
      <c r="E61" s="38">
        <v>4.71</v>
      </c>
      <c r="F61" s="3"/>
      <c r="G61" s="6"/>
    </row>
    <row r="62" spans="1:7" x14ac:dyDescent="0.25">
      <c r="A62" s="57">
        <v>45846</v>
      </c>
      <c r="B62" s="58" t="s">
        <v>23</v>
      </c>
      <c r="C62" s="59" t="s">
        <v>12</v>
      </c>
      <c r="D62" s="60" t="s">
        <v>3</v>
      </c>
      <c r="E62" s="38">
        <v>1.52</v>
      </c>
      <c r="F62" s="3"/>
      <c r="G62" s="6"/>
    </row>
    <row r="63" spans="1:7" x14ac:dyDescent="0.25">
      <c r="A63" s="57">
        <v>45847</v>
      </c>
      <c r="B63" s="58" t="s">
        <v>23</v>
      </c>
      <c r="C63" s="59" t="s">
        <v>12</v>
      </c>
      <c r="D63" s="60" t="s">
        <v>3</v>
      </c>
      <c r="E63" s="38">
        <v>20.440000000000001</v>
      </c>
      <c r="F63" s="3"/>
      <c r="G63" s="6"/>
    </row>
    <row r="64" spans="1:7" x14ac:dyDescent="0.25">
      <c r="A64" s="57">
        <v>45847</v>
      </c>
      <c r="B64" s="58" t="s">
        <v>23</v>
      </c>
      <c r="C64" s="59" t="s">
        <v>87</v>
      </c>
      <c r="D64" s="60" t="s">
        <v>87</v>
      </c>
      <c r="E64" s="38">
        <v>1063</v>
      </c>
      <c r="F64" s="3"/>
      <c r="G64" s="6"/>
    </row>
    <row r="65" spans="1:7" ht="30" x14ac:dyDescent="0.25">
      <c r="A65" s="57">
        <v>45848</v>
      </c>
      <c r="B65" s="58" t="s">
        <v>23</v>
      </c>
      <c r="C65" s="59" t="s">
        <v>31</v>
      </c>
      <c r="D65" s="60" t="s">
        <v>3</v>
      </c>
      <c r="E65" s="38">
        <v>17.98</v>
      </c>
      <c r="F65" s="3"/>
      <c r="G65" s="6"/>
    </row>
    <row r="66" spans="1:7" x14ac:dyDescent="0.25">
      <c r="A66" s="57">
        <v>45848</v>
      </c>
      <c r="B66" s="58" t="s">
        <v>23</v>
      </c>
      <c r="C66" s="59" t="s">
        <v>40</v>
      </c>
      <c r="D66" s="60" t="s">
        <v>4</v>
      </c>
      <c r="E66" s="38">
        <v>9.59</v>
      </c>
      <c r="F66" s="3"/>
      <c r="G66" s="6"/>
    </row>
    <row r="67" spans="1:7" x14ac:dyDescent="0.25">
      <c r="A67" s="57">
        <v>45849</v>
      </c>
      <c r="B67" s="58" t="s">
        <v>23</v>
      </c>
      <c r="C67" s="23"/>
      <c r="D67" s="25"/>
      <c r="E67" s="38">
        <v>125</v>
      </c>
      <c r="F67" s="3"/>
      <c r="G67" s="6"/>
    </row>
    <row r="68" spans="1:7" x14ac:dyDescent="0.25">
      <c r="A68" s="57">
        <v>45849</v>
      </c>
      <c r="B68" s="58" t="s">
        <v>23</v>
      </c>
      <c r="C68" s="59" t="s">
        <v>13</v>
      </c>
      <c r="D68" s="60" t="s">
        <v>81</v>
      </c>
      <c r="E68" s="38">
        <v>53.53</v>
      </c>
      <c r="F68" s="38">
        <v>17.63</v>
      </c>
      <c r="G68" s="6"/>
    </row>
    <row r="69" spans="1:7" ht="30" x14ac:dyDescent="0.25">
      <c r="A69" s="57">
        <v>45849</v>
      </c>
      <c r="B69" s="58" t="s">
        <v>23</v>
      </c>
      <c r="C69" s="59" t="s">
        <v>38</v>
      </c>
      <c r="D69" s="60" t="s">
        <v>3</v>
      </c>
      <c r="E69" s="38">
        <v>37.44</v>
      </c>
      <c r="F69" s="3"/>
      <c r="G69" s="6"/>
    </row>
    <row r="70" spans="1:7" x14ac:dyDescent="0.25">
      <c r="A70" s="57">
        <v>45849</v>
      </c>
      <c r="B70" s="58" t="s">
        <v>23</v>
      </c>
      <c r="C70" s="59" t="s">
        <v>40</v>
      </c>
      <c r="D70" s="60" t="s">
        <v>4</v>
      </c>
      <c r="E70" s="38">
        <v>8.2799999999999994</v>
      </c>
      <c r="F70" s="3"/>
      <c r="G70" s="6"/>
    </row>
    <row r="71" spans="1:7" x14ac:dyDescent="0.25">
      <c r="A71" s="57">
        <v>45849</v>
      </c>
      <c r="B71" s="58" t="s">
        <v>23</v>
      </c>
      <c r="C71" s="59" t="s">
        <v>87</v>
      </c>
      <c r="D71" s="60" t="s">
        <v>87</v>
      </c>
      <c r="E71" s="38">
        <v>9.98</v>
      </c>
      <c r="F71" s="3"/>
      <c r="G71" s="6"/>
    </row>
    <row r="72" spans="1:7" x14ac:dyDescent="0.25">
      <c r="A72" s="57">
        <v>45850</v>
      </c>
      <c r="B72" s="58" t="s">
        <v>23</v>
      </c>
      <c r="C72" s="59" t="s">
        <v>62</v>
      </c>
      <c r="D72" s="60" t="s">
        <v>84</v>
      </c>
      <c r="E72" s="38">
        <v>160</v>
      </c>
      <c r="F72" s="3"/>
      <c r="G72" s="6"/>
    </row>
    <row r="73" spans="1:7" x14ac:dyDescent="0.25">
      <c r="A73" s="57">
        <v>45852</v>
      </c>
      <c r="B73" s="58" t="s">
        <v>23</v>
      </c>
      <c r="C73" s="59" t="s">
        <v>7</v>
      </c>
      <c r="D73" s="60" t="s">
        <v>81</v>
      </c>
      <c r="E73" s="38">
        <v>22.09</v>
      </c>
      <c r="F73" s="3"/>
      <c r="G73" s="6"/>
    </row>
    <row r="74" spans="1:7" x14ac:dyDescent="0.25">
      <c r="A74" s="57">
        <v>45852</v>
      </c>
      <c r="B74" s="58" t="s">
        <v>23</v>
      </c>
      <c r="C74" s="59" t="s">
        <v>12</v>
      </c>
      <c r="D74" s="60" t="s">
        <v>3</v>
      </c>
      <c r="E74" s="38">
        <v>43.63</v>
      </c>
      <c r="F74" s="3"/>
      <c r="G74" s="6"/>
    </row>
    <row r="75" spans="1:7" x14ac:dyDescent="0.25">
      <c r="A75" s="57">
        <v>45852</v>
      </c>
      <c r="B75" s="58" t="s">
        <v>23</v>
      </c>
      <c r="C75" s="59" t="s">
        <v>12</v>
      </c>
      <c r="D75" s="60" t="s">
        <v>3</v>
      </c>
      <c r="E75" s="38">
        <v>11.81</v>
      </c>
      <c r="F75" s="3"/>
      <c r="G75" s="6"/>
    </row>
    <row r="76" spans="1:7" x14ac:dyDescent="0.25">
      <c r="A76" s="57">
        <v>45816</v>
      </c>
      <c r="B76" s="58" t="s">
        <v>16</v>
      </c>
      <c r="C76" s="59" t="s">
        <v>16</v>
      </c>
      <c r="D76" s="60" t="s">
        <v>15</v>
      </c>
      <c r="E76" s="38">
        <v>11.83</v>
      </c>
      <c r="F76" s="3"/>
      <c r="G76" s="6"/>
    </row>
    <row r="77" spans="1:7" x14ac:dyDescent="0.25">
      <c r="A77" s="57">
        <v>45820</v>
      </c>
      <c r="B77" s="58" t="s">
        <v>16</v>
      </c>
      <c r="C77" s="59" t="s">
        <v>16</v>
      </c>
      <c r="D77" s="60" t="s">
        <v>15</v>
      </c>
      <c r="E77" s="38">
        <v>36.39</v>
      </c>
      <c r="F77" s="3"/>
      <c r="G77" s="6"/>
    </row>
    <row r="78" spans="1:7" x14ac:dyDescent="0.25">
      <c r="A78" s="57">
        <v>45821</v>
      </c>
      <c r="B78" s="58" t="s">
        <v>16</v>
      </c>
      <c r="C78" s="59" t="s">
        <v>16</v>
      </c>
      <c r="D78" s="60" t="s">
        <v>3</v>
      </c>
      <c r="E78" s="38">
        <v>81.489999999999995</v>
      </c>
      <c r="F78" s="3"/>
      <c r="G78" s="6"/>
    </row>
    <row r="79" spans="1:7" x14ac:dyDescent="0.25">
      <c r="A79" s="57">
        <v>45824</v>
      </c>
      <c r="B79" s="58" t="s">
        <v>16</v>
      </c>
      <c r="C79" s="59" t="s">
        <v>66</v>
      </c>
      <c r="D79" s="60" t="s">
        <v>6</v>
      </c>
      <c r="E79" s="38">
        <v>8.48</v>
      </c>
      <c r="F79" s="3"/>
      <c r="G79" s="6"/>
    </row>
    <row r="80" spans="1:7" x14ac:dyDescent="0.25">
      <c r="A80" s="57">
        <v>45828</v>
      </c>
      <c r="B80" s="58" t="s">
        <v>16</v>
      </c>
      <c r="C80" s="59" t="s">
        <v>16</v>
      </c>
      <c r="D80" s="60" t="s">
        <v>15</v>
      </c>
      <c r="E80" s="38">
        <v>41.09</v>
      </c>
      <c r="F80" s="3"/>
      <c r="G80" s="6"/>
    </row>
    <row r="81" spans="1:7" x14ac:dyDescent="0.25">
      <c r="A81" s="57">
        <v>45829</v>
      </c>
      <c r="B81" s="58" t="s">
        <v>16</v>
      </c>
      <c r="C81" s="59" t="s">
        <v>16</v>
      </c>
      <c r="D81" s="60" t="s">
        <v>3</v>
      </c>
      <c r="E81" s="38">
        <v>70.42</v>
      </c>
      <c r="F81" s="3"/>
      <c r="G81" s="6"/>
    </row>
    <row r="82" spans="1:7" x14ac:dyDescent="0.25">
      <c r="A82" s="57">
        <v>45829</v>
      </c>
      <c r="B82" s="58" t="s">
        <v>16</v>
      </c>
      <c r="C82" s="59" t="s">
        <v>16</v>
      </c>
      <c r="D82" s="60" t="s">
        <v>15</v>
      </c>
      <c r="E82" s="38">
        <v>21.09</v>
      </c>
      <c r="F82" s="3"/>
      <c r="G82" s="6"/>
    </row>
    <row r="83" spans="1:7" x14ac:dyDescent="0.25">
      <c r="A83" s="57">
        <v>45830</v>
      </c>
      <c r="B83" s="58" t="s">
        <v>16</v>
      </c>
      <c r="C83" s="59" t="s">
        <v>66</v>
      </c>
      <c r="D83" s="60" t="s">
        <v>6</v>
      </c>
      <c r="E83" s="38">
        <v>17.13</v>
      </c>
      <c r="F83" s="3"/>
      <c r="G83" s="6"/>
    </row>
    <row r="84" spans="1:7" x14ac:dyDescent="0.25">
      <c r="A84" s="57">
        <v>45830</v>
      </c>
      <c r="B84" s="58" t="s">
        <v>16</v>
      </c>
      <c r="C84" s="59" t="s">
        <v>66</v>
      </c>
      <c r="D84" s="60" t="s">
        <v>6</v>
      </c>
      <c r="E84" s="38">
        <v>52.59</v>
      </c>
      <c r="F84" s="3"/>
      <c r="G84" s="6"/>
    </row>
    <row r="85" spans="1:7" x14ac:dyDescent="0.25">
      <c r="A85" s="57">
        <v>45830</v>
      </c>
      <c r="B85" s="58" t="s">
        <v>16</v>
      </c>
      <c r="C85" s="59" t="s">
        <v>66</v>
      </c>
      <c r="D85" s="60" t="s">
        <v>6</v>
      </c>
      <c r="E85" s="38">
        <v>19.809999999999999</v>
      </c>
      <c r="F85" s="3"/>
      <c r="G85" s="6"/>
    </row>
    <row r="86" spans="1:7" x14ac:dyDescent="0.25">
      <c r="A86" s="57">
        <v>45830</v>
      </c>
      <c r="B86" s="58" t="s">
        <v>16</v>
      </c>
      <c r="C86" s="59" t="s">
        <v>16</v>
      </c>
      <c r="D86" s="60" t="s">
        <v>15</v>
      </c>
      <c r="E86" s="38">
        <v>33.130000000000003</v>
      </c>
      <c r="F86" s="3"/>
      <c r="G86" s="6"/>
    </row>
    <row r="87" spans="1:7" x14ac:dyDescent="0.25">
      <c r="A87" s="57">
        <v>45832</v>
      </c>
      <c r="B87" s="58" t="s">
        <v>16</v>
      </c>
      <c r="C87" s="59" t="s">
        <v>16</v>
      </c>
      <c r="D87" s="60" t="s">
        <v>4</v>
      </c>
      <c r="E87" s="38">
        <v>37.76</v>
      </c>
      <c r="F87" s="3"/>
      <c r="G87" s="6"/>
    </row>
    <row r="88" spans="1:7" x14ac:dyDescent="0.25">
      <c r="A88" s="57">
        <v>45832</v>
      </c>
      <c r="B88" s="58" t="s">
        <v>16</v>
      </c>
      <c r="C88" s="59" t="s">
        <v>16</v>
      </c>
      <c r="D88" s="60" t="s">
        <v>6</v>
      </c>
      <c r="E88" s="38">
        <v>49.98</v>
      </c>
      <c r="F88" s="3"/>
      <c r="G88" s="6"/>
    </row>
    <row r="89" spans="1:7" x14ac:dyDescent="0.25">
      <c r="A89" s="57">
        <v>45833</v>
      </c>
      <c r="B89" s="58" t="s">
        <v>16</v>
      </c>
      <c r="C89" s="59" t="s">
        <v>66</v>
      </c>
      <c r="D89" s="60" t="s">
        <v>6</v>
      </c>
      <c r="E89" s="38">
        <v>7.92</v>
      </c>
      <c r="F89" s="18"/>
      <c r="G89" s="6"/>
    </row>
    <row r="90" spans="1:7" x14ac:dyDescent="0.25">
      <c r="A90" s="57">
        <v>45834</v>
      </c>
      <c r="B90" s="58" t="s">
        <v>16</v>
      </c>
      <c r="C90" s="59" t="s">
        <v>12</v>
      </c>
      <c r="D90" s="60" t="s">
        <v>15</v>
      </c>
      <c r="E90" s="38">
        <v>33.479999999999997</v>
      </c>
      <c r="F90" s="3"/>
      <c r="G90" s="6"/>
    </row>
    <row r="91" spans="1:7" x14ac:dyDescent="0.25">
      <c r="A91" s="57">
        <v>45835</v>
      </c>
      <c r="B91" s="58" t="s">
        <v>16</v>
      </c>
      <c r="C91" s="59" t="s">
        <v>66</v>
      </c>
      <c r="D91" s="60" t="s">
        <v>6</v>
      </c>
      <c r="E91" s="38">
        <v>2.75</v>
      </c>
      <c r="F91" s="3"/>
      <c r="G91" s="6"/>
    </row>
    <row r="92" spans="1:7" x14ac:dyDescent="0.25">
      <c r="A92" s="57">
        <v>45836</v>
      </c>
      <c r="B92" s="58" t="s">
        <v>16</v>
      </c>
      <c r="C92" s="59" t="s">
        <v>16</v>
      </c>
      <c r="D92" s="60" t="s">
        <v>15</v>
      </c>
      <c r="E92" s="38">
        <v>33.85</v>
      </c>
      <c r="F92" s="3"/>
      <c r="G92" s="6"/>
    </row>
    <row r="93" spans="1:7" x14ac:dyDescent="0.25">
      <c r="A93" s="57">
        <v>45837</v>
      </c>
      <c r="B93" s="58" t="s">
        <v>16</v>
      </c>
      <c r="C93" s="59" t="s">
        <v>66</v>
      </c>
      <c r="D93" s="60" t="s">
        <v>6</v>
      </c>
      <c r="E93" s="38">
        <v>18.63</v>
      </c>
      <c r="F93" s="3"/>
      <c r="G93" s="6"/>
    </row>
    <row r="94" spans="1:7" x14ac:dyDescent="0.25">
      <c r="A94" s="57">
        <v>45837</v>
      </c>
      <c r="B94" s="58" t="s">
        <v>16</v>
      </c>
      <c r="C94" s="59" t="s">
        <v>16</v>
      </c>
      <c r="D94" s="60" t="s">
        <v>6</v>
      </c>
      <c r="E94" s="38">
        <v>7.96</v>
      </c>
      <c r="F94" s="3"/>
      <c r="G94" s="6"/>
    </row>
    <row r="95" spans="1:7" x14ac:dyDescent="0.25">
      <c r="A95" s="57">
        <v>45837</v>
      </c>
      <c r="B95" s="58" t="s">
        <v>16</v>
      </c>
      <c r="C95" s="59" t="s">
        <v>16</v>
      </c>
      <c r="D95" s="60" t="s">
        <v>15</v>
      </c>
      <c r="E95" s="38">
        <v>37.020000000000003</v>
      </c>
      <c r="F95" s="3"/>
      <c r="G95" s="6"/>
    </row>
    <row r="96" spans="1:7" x14ac:dyDescent="0.25">
      <c r="A96" s="57">
        <v>45838</v>
      </c>
      <c r="B96" s="58" t="s">
        <v>16</v>
      </c>
      <c r="C96" s="59" t="s">
        <v>66</v>
      </c>
      <c r="D96" s="60" t="s">
        <v>6</v>
      </c>
      <c r="E96" s="38">
        <v>6.62</v>
      </c>
      <c r="F96" s="3"/>
      <c r="G96" s="6"/>
    </row>
    <row r="97" spans="1:7" x14ac:dyDescent="0.25">
      <c r="A97" s="57">
        <v>45840</v>
      </c>
      <c r="B97" s="58" t="s">
        <v>16</v>
      </c>
      <c r="C97" s="59" t="s">
        <v>12</v>
      </c>
      <c r="D97" s="60" t="s">
        <v>15</v>
      </c>
      <c r="E97" s="38">
        <v>18.39</v>
      </c>
      <c r="F97" s="3"/>
      <c r="G97" s="6"/>
    </row>
    <row r="98" spans="1:7" x14ac:dyDescent="0.25">
      <c r="A98" s="57">
        <v>45840</v>
      </c>
      <c r="B98" s="58" t="s">
        <v>16</v>
      </c>
      <c r="C98" s="59" t="s">
        <v>16</v>
      </c>
      <c r="D98" s="60" t="s">
        <v>3</v>
      </c>
      <c r="E98" s="38">
        <v>4.6100000000000003</v>
      </c>
      <c r="F98" s="3"/>
      <c r="G98" s="6"/>
    </row>
    <row r="99" spans="1:7" x14ac:dyDescent="0.25">
      <c r="A99" s="57">
        <v>45841</v>
      </c>
      <c r="B99" s="58" t="s">
        <v>16</v>
      </c>
      <c r="C99" s="59" t="s">
        <v>66</v>
      </c>
      <c r="D99" s="60" t="s">
        <v>6</v>
      </c>
      <c r="E99" s="38">
        <v>12.52</v>
      </c>
      <c r="F99" s="3"/>
      <c r="G99" s="6"/>
    </row>
    <row r="100" spans="1:7" x14ac:dyDescent="0.25">
      <c r="A100" s="57">
        <v>45842</v>
      </c>
      <c r="B100" s="58" t="s">
        <v>16</v>
      </c>
      <c r="C100" s="59" t="s">
        <v>66</v>
      </c>
      <c r="D100" s="60" t="s">
        <v>6</v>
      </c>
      <c r="E100" s="38">
        <v>8.2799999999999994</v>
      </c>
      <c r="F100" s="3"/>
      <c r="G100" s="6"/>
    </row>
    <row r="101" spans="1:7" x14ac:dyDescent="0.25">
      <c r="A101" s="57">
        <v>45842</v>
      </c>
      <c r="B101" s="58" t="s">
        <v>16</v>
      </c>
      <c r="C101" s="59" t="s">
        <v>12</v>
      </c>
      <c r="D101" s="60" t="s">
        <v>6</v>
      </c>
      <c r="E101" s="38">
        <v>2.82</v>
      </c>
      <c r="F101" s="3"/>
      <c r="G101" s="6"/>
    </row>
    <row r="102" spans="1:7" x14ac:dyDescent="0.25">
      <c r="A102" s="57">
        <v>45844</v>
      </c>
      <c r="B102" s="58" t="s">
        <v>16</v>
      </c>
      <c r="C102" s="59" t="s">
        <v>12</v>
      </c>
      <c r="D102" s="60" t="s">
        <v>15</v>
      </c>
      <c r="E102" s="38">
        <v>24.45</v>
      </c>
      <c r="F102" s="3"/>
      <c r="G102" s="6"/>
    </row>
    <row r="103" spans="1:7" x14ac:dyDescent="0.25">
      <c r="A103" s="57">
        <v>45844</v>
      </c>
      <c r="B103" s="58" t="s">
        <v>16</v>
      </c>
      <c r="C103" s="59" t="s">
        <v>66</v>
      </c>
      <c r="D103" s="60" t="s">
        <v>6</v>
      </c>
      <c r="E103" s="38">
        <v>53.98</v>
      </c>
      <c r="F103" s="3"/>
      <c r="G103" s="6"/>
    </row>
    <row r="104" spans="1:7" x14ac:dyDescent="0.25">
      <c r="A104" s="57">
        <v>45844</v>
      </c>
      <c r="B104" s="58" t="s">
        <v>16</v>
      </c>
      <c r="C104" s="59" t="s">
        <v>12</v>
      </c>
      <c r="D104" s="60" t="s">
        <v>6</v>
      </c>
      <c r="E104" s="38">
        <v>4.2300000000000004</v>
      </c>
      <c r="F104" s="3"/>
      <c r="G104" s="6"/>
    </row>
    <row r="105" spans="1:7" x14ac:dyDescent="0.25">
      <c r="A105" s="57">
        <v>45845</v>
      </c>
      <c r="B105" s="58" t="s">
        <v>16</v>
      </c>
      <c r="C105" s="59" t="s">
        <v>12</v>
      </c>
      <c r="D105" s="60" t="s">
        <v>15</v>
      </c>
      <c r="E105" s="38">
        <v>34.53</v>
      </c>
      <c r="F105" s="3"/>
      <c r="G105" s="6"/>
    </row>
    <row r="106" spans="1:7" x14ac:dyDescent="0.25">
      <c r="A106" s="21"/>
      <c r="B106" s="22"/>
      <c r="C106" s="23"/>
      <c r="D106" s="25"/>
      <c r="E106" s="3"/>
      <c r="F106" s="3"/>
      <c r="G106" s="6"/>
    </row>
    <row r="107" spans="1:7" x14ac:dyDescent="0.25">
      <c r="A107" s="21"/>
      <c r="B107" s="22"/>
      <c r="C107" s="23"/>
      <c r="D107" s="25"/>
      <c r="E107" s="3"/>
      <c r="F107" s="3"/>
      <c r="G107" s="6"/>
    </row>
    <row r="108" spans="1:7" x14ac:dyDescent="0.25">
      <c r="A108" s="21"/>
      <c r="B108" s="22"/>
      <c r="C108" s="23"/>
      <c r="D108" s="25"/>
      <c r="E108" s="3"/>
      <c r="F108" s="3"/>
      <c r="G108" s="6"/>
    </row>
    <row r="109" spans="1:7" x14ac:dyDescent="0.25">
      <c r="A109" s="21"/>
      <c r="B109" s="22"/>
      <c r="C109" s="23"/>
      <c r="D109" s="25"/>
      <c r="E109" s="3"/>
      <c r="F109" s="3"/>
      <c r="G109" s="6"/>
    </row>
    <row r="110" spans="1:7" x14ac:dyDescent="0.25">
      <c r="A110" s="21"/>
      <c r="B110" s="22"/>
      <c r="C110" s="23"/>
      <c r="D110" s="25"/>
      <c r="E110" s="3"/>
      <c r="F110" s="3"/>
      <c r="G110" s="6"/>
    </row>
    <row r="111" spans="1:7" x14ac:dyDescent="0.25">
      <c r="A111" s="21"/>
      <c r="B111" s="22"/>
      <c r="C111" s="23"/>
      <c r="D111" s="25"/>
      <c r="E111" s="3"/>
      <c r="F111" s="3"/>
      <c r="G111" s="6"/>
    </row>
    <row r="112" spans="1:7" x14ac:dyDescent="0.25">
      <c r="A112" s="21"/>
      <c r="B112" s="22"/>
      <c r="C112" s="23"/>
      <c r="D112" s="25"/>
      <c r="E112" s="3"/>
      <c r="F112" s="3"/>
      <c r="G112" s="6"/>
    </row>
    <row r="113" spans="1:7" x14ac:dyDescent="0.25">
      <c r="A113" s="42" t="s">
        <v>21</v>
      </c>
      <c r="B113" s="43"/>
      <c r="C113" s="24"/>
      <c r="D113" s="26"/>
      <c r="E113" s="38">
        <f>SUM(E2:E112)</f>
        <v>5647.5699999999988</v>
      </c>
      <c r="F113" s="38">
        <f>SUM(F2:F112)</f>
        <v>586.6</v>
      </c>
      <c r="G113" s="44">
        <f>SUM(G5:G112)</f>
        <v>0</v>
      </c>
    </row>
    <row r="114" spans="1:7" x14ac:dyDescent="0.25">
      <c r="A114" s="45" t="s">
        <v>17</v>
      </c>
      <c r="B114" s="46"/>
      <c r="C114" s="62">
        <f>SUMIF(B2:B112,"Capitol One",F2:F112)</f>
        <v>586.6</v>
      </c>
      <c r="D114" s="26"/>
      <c r="E114" s="2"/>
      <c r="F114" s="2"/>
      <c r="G114" s="9"/>
    </row>
    <row r="115" spans="1:7" x14ac:dyDescent="0.25">
      <c r="A115" s="42" t="s">
        <v>18</v>
      </c>
      <c r="B115" s="43"/>
      <c r="C115" s="63">
        <f>SUMIF(B2:B112,"Sam's Club",F2:F112)</f>
        <v>0</v>
      </c>
      <c r="D115" s="26"/>
      <c r="E115" s="2"/>
      <c r="F115" s="2"/>
      <c r="G115" s="9"/>
    </row>
    <row r="116" spans="1:7" x14ac:dyDescent="0.25">
      <c r="A116" s="42" t="s">
        <v>90</v>
      </c>
      <c r="B116" s="43"/>
      <c r="C116" s="62">
        <f>SUMIF(B2:B112,"Discover",F2:F112)</f>
        <v>0</v>
      </c>
      <c r="D116" s="27"/>
      <c r="E116" s="17"/>
      <c r="F116" s="17"/>
      <c r="G116" s="13"/>
    </row>
    <row r="117" spans="1:7" x14ac:dyDescent="0.25">
      <c r="A117" s="42" t="s">
        <v>91</v>
      </c>
      <c r="B117" s="43"/>
      <c r="C117" s="63">
        <f>SUMIF($B2:B112,"Discover",$E2:E112)+SUMIF($B2:B112,"Discover",$G2:G112)-C116</f>
        <v>0</v>
      </c>
      <c r="D117" s="26"/>
      <c r="E117" s="2"/>
      <c r="F117" s="2"/>
      <c r="G117" s="9"/>
    </row>
    <row r="118" spans="1:7" x14ac:dyDescent="0.25">
      <c r="A118" s="45" t="s">
        <v>19</v>
      </c>
      <c r="B118" s="46"/>
      <c r="C118" s="63">
        <f>SUMIF($B2:B112,"Capitol One",$E2:E112)+SUMIF($B2:B112,"Capitol One",$G2:G112)-C114</f>
        <v>4267.7399999999989</v>
      </c>
      <c r="D118" s="26"/>
      <c r="E118" s="2"/>
      <c r="F118" s="2"/>
      <c r="G118" s="9"/>
    </row>
    <row r="119" spans="1:7" ht="15.75" thickBot="1" x14ac:dyDescent="0.3">
      <c r="A119" s="47" t="s">
        <v>20</v>
      </c>
      <c r="B119" s="48"/>
      <c r="C119" s="64">
        <f>SUMIF($B2:B112,"Sam's Club",$E2:E112)+SUMIF($B2:B112,"Sam's Club",$G2:G112)-C115</f>
        <v>793.23000000000013</v>
      </c>
      <c r="D119" s="28"/>
      <c r="E119" s="10"/>
      <c r="F119" s="10"/>
      <c r="G119" s="11"/>
    </row>
  </sheetData>
  <autoFilter ref="A1:H1" xr:uid="{A49E7DCE-1110-48B2-A836-B0973A533A75}">
    <sortState xmlns:xlrd2="http://schemas.microsoft.com/office/spreadsheetml/2017/richdata2" ref="A2:H99">
      <sortCondition ref="B1"/>
    </sortState>
  </autoFilter>
  <dataConsolidate/>
  <mergeCells count="7">
    <mergeCell ref="A119:B119"/>
    <mergeCell ref="A113:B113"/>
    <mergeCell ref="A114:B114"/>
    <mergeCell ref="A115:B115"/>
    <mergeCell ref="A116:B116"/>
    <mergeCell ref="A117:B117"/>
    <mergeCell ref="A118:B118"/>
  </mergeCells>
  <dataValidations count="15">
    <dataValidation type="date" allowBlank="1" showInputMessage="1" showErrorMessage="1" sqref="A41 A29" xr:uid="{468CBC07-EA71-48D3-88D1-806C984BC695}">
      <formula1>A29</formula1>
      <formula2>A138</formula2>
    </dataValidation>
    <dataValidation type="date" allowBlank="1" showInputMessage="1" showErrorMessage="1" sqref="A2:A21" xr:uid="{E0476BA8-1990-454C-91EC-2BCFF94879F1}">
      <formula1>A2</formula1>
      <formula2>A116</formula2>
    </dataValidation>
    <dataValidation type="date" allowBlank="1" showInputMessage="1" showErrorMessage="1" sqref="A22:A28" xr:uid="{96A25ABA-2CEE-424C-B363-943A542F7AD4}">
      <formula1>A22</formula1>
      <formula2>A137</formula2>
    </dataValidation>
    <dataValidation type="date" allowBlank="1" showInputMessage="1" showErrorMessage="1" sqref="A101:A106 A89:A94" xr:uid="{BBA2CCF0-B46E-4ED3-8802-9BAE978952F0}">
      <formula1>A89</formula1>
      <formula2>A126</formula2>
    </dataValidation>
    <dataValidation type="date" allowBlank="1" showInputMessage="1" showErrorMessage="1" sqref="A42:A49" xr:uid="{C048347B-F7A7-4648-B343-1A8ABE7A213F}">
      <formula1>A42</formula1>
      <formula2>A143</formula2>
    </dataValidation>
    <dataValidation type="date" allowBlank="1" showInputMessage="1" showErrorMessage="1" sqref="A50:A58 A65:A73 A85:A88" xr:uid="{62345D7A-028C-46FD-B531-64B337D3090F}">
      <formula1>A50</formula1>
      <formula2>A136</formula2>
    </dataValidation>
    <dataValidation type="date" allowBlank="1" showInputMessage="1" showErrorMessage="1" sqref="A59:A64" xr:uid="{A63F5904-2557-46F6-8BDB-7B762E129919}">
      <formula1>A59</formula1>
      <formula2>A124</formula2>
    </dataValidation>
    <dataValidation type="list" allowBlank="1" showInputMessage="1" showErrorMessage="1" sqref="B2:B112" xr:uid="{3561C821-3513-4F57-BDE1-1B1EBF38C3F4}">
      <formula1>CCUsed</formula1>
    </dataValidation>
    <dataValidation type="list" allowBlank="1" showInputMessage="1" showErrorMessage="1" sqref="D2:D112" xr:uid="{B8909A63-2927-49FD-8430-E6B4D032451A}">
      <formula1>ItemsDescription</formula1>
    </dataValidation>
    <dataValidation type="list" allowBlank="1" showInputMessage="1" showErrorMessage="1" sqref="C2:C112" xr:uid="{41E372B4-5FEE-4EFE-9840-381CBA66986A}">
      <formula1>StoresDescription</formula1>
    </dataValidation>
    <dataValidation type="date" allowBlank="1" showInputMessage="1" showErrorMessage="1" sqref="A30:A40" xr:uid="{9BFA6FFF-FF0C-4974-9710-C28EEA6A93C4}">
      <formula1>A30</formula1>
      <formula2>A138</formula2>
    </dataValidation>
    <dataValidation type="date" allowBlank="1" showInputMessage="1" showErrorMessage="1" sqref="A107:A111 A95:A99" xr:uid="{B00130C5-3389-4C8D-8B49-9EE00FB50249}">
      <formula1>A95</formula1>
      <formula2>A128</formula2>
    </dataValidation>
    <dataValidation type="date" allowBlank="1" showInputMessage="1" showErrorMessage="1" sqref="A112 A100" xr:uid="{3FBEEE37-E054-451B-9313-8DBB53705097}">
      <formula1>A100</formula1>
      <formula2>A118</formula2>
    </dataValidation>
    <dataValidation type="date" allowBlank="1" showInputMessage="1" showErrorMessage="1" sqref="A74:A80" xr:uid="{1B4EF12E-AD14-456D-BED1-0BD0DABDB8D3}">
      <formula1>A74</formula1>
      <formula2>A123</formula2>
    </dataValidation>
    <dataValidation type="date" allowBlank="1" showInputMessage="1" showErrorMessage="1" sqref="A81:A84" xr:uid="{B3A19697-A24D-4743-B2BA-D3D7B3EC439C}">
      <formula1>A81</formula1>
      <formula2>A126</formula2>
    </dataValidation>
  </dataValidations>
  <pageMargins left="0.25" right="0.25" top="0.75" bottom="0.75" header="0.3" footer="0.3"/>
  <pageSetup paperSize="3" scale="8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3493-AAB6-441D-AF1D-3079537C5573}">
  <sheetPr codeName="Sheet8">
    <pageSetUpPr fitToPage="1"/>
  </sheetPr>
  <dimension ref="A1:J123"/>
  <sheetViews>
    <sheetView zoomScale="115" zoomScaleNormal="115" zoomScaleSheetLayoutView="62" workbookViewId="0">
      <pane ySplit="1" topLeftCell="A23" activePane="bottomLeft" state="frozen"/>
      <selection activeCell="C4" sqref="C4"/>
      <selection pane="bottomLeft" activeCell="A30" sqref="A30:XFD69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6.5703125" bestFit="1" customWidth="1"/>
    <col min="4" max="4" width="20.140625" bestFit="1" customWidth="1"/>
    <col min="5" max="6" width="11.140625" bestFit="1" customWidth="1"/>
    <col min="7" max="7" width="8.7109375" bestFit="1" customWidth="1"/>
    <col min="8" max="8" width="8.5703125" customWidth="1"/>
    <col min="9" max="9" width="20.28515625" bestFit="1" customWidth="1"/>
    <col min="10" max="10" width="10.5703125" bestFit="1" customWidth="1"/>
  </cols>
  <sheetData>
    <row r="1" spans="1:10" x14ac:dyDescent="0.25">
      <c r="A1" s="31" t="s">
        <v>0</v>
      </c>
      <c r="B1" s="32" t="s">
        <v>24</v>
      </c>
      <c r="C1" s="33" t="s">
        <v>1</v>
      </c>
      <c r="D1" s="33" t="s">
        <v>2</v>
      </c>
      <c r="E1" s="33" t="s">
        <v>25</v>
      </c>
      <c r="F1" s="33" t="s">
        <v>26</v>
      </c>
      <c r="G1" s="34" t="s">
        <v>30</v>
      </c>
    </row>
    <row r="2" spans="1:10" x14ac:dyDescent="0.25">
      <c r="A2" s="35">
        <v>45853</v>
      </c>
      <c r="B2" s="36" t="s">
        <v>23</v>
      </c>
      <c r="C2" s="37" t="s">
        <v>12</v>
      </c>
      <c r="D2" s="37" t="s">
        <v>3</v>
      </c>
      <c r="E2" s="50">
        <v>120.19</v>
      </c>
      <c r="F2" s="18"/>
      <c r="G2" s="30"/>
    </row>
    <row r="3" spans="1:10" x14ac:dyDescent="0.25">
      <c r="A3" s="35">
        <v>45854</v>
      </c>
      <c r="B3" s="36" t="s">
        <v>23</v>
      </c>
      <c r="C3" s="37" t="s">
        <v>47</v>
      </c>
      <c r="D3" s="37" t="s">
        <v>4</v>
      </c>
      <c r="E3" s="50">
        <v>152.16</v>
      </c>
      <c r="F3" s="18"/>
      <c r="G3" s="19"/>
    </row>
    <row r="4" spans="1:10" x14ac:dyDescent="0.25">
      <c r="A4" s="35">
        <v>45856</v>
      </c>
      <c r="B4" s="36" t="s">
        <v>23</v>
      </c>
      <c r="C4" s="37" t="s">
        <v>87</v>
      </c>
      <c r="D4" s="37" t="s">
        <v>87</v>
      </c>
      <c r="E4" s="18"/>
      <c r="F4" s="50">
        <v>1063</v>
      </c>
      <c r="G4" s="19"/>
    </row>
    <row r="5" spans="1:10" x14ac:dyDescent="0.25">
      <c r="A5" s="35">
        <v>45856</v>
      </c>
      <c r="B5" s="36" t="s">
        <v>23</v>
      </c>
      <c r="C5" s="37" t="s">
        <v>87</v>
      </c>
      <c r="D5" s="37" t="s">
        <v>87</v>
      </c>
      <c r="E5" s="18"/>
      <c r="F5" s="50">
        <v>9.98</v>
      </c>
      <c r="G5" s="19"/>
      <c r="I5" s="39" t="s">
        <v>81</v>
      </c>
      <c r="J5" s="38">
        <f t="shared" ref="J5:J11" ca="1" si="0">SUMIF($D$2:$D$116,I5,$E$2:$E$103)-SUMIF($D$2:$D$116,I5,$F$2:$F$116)</f>
        <v>1095.0899999999997</v>
      </c>
    </row>
    <row r="6" spans="1:10" x14ac:dyDescent="0.25">
      <c r="A6" s="35">
        <v>45857</v>
      </c>
      <c r="B6" s="36" t="s">
        <v>23</v>
      </c>
      <c r="C6" s="37" t="s">
        <v>12</v>
      </c>
      <c r="D6" s="37" t="s">
        <v>3</v>
      </c>
      <c r="E6" s="50">
        <v>38.32</v>
      </c>
      <c r="F6" s="18"/>
      <c r="G6" s="19"/>
      <c r="I6" s="39" t="s">
        <v>5</v>
      </c>
      <c r="J6" s="38">
        <f t="shared" ca="1" si="0"/>
        <v>176.14</v>
      </c>
    </row>
    <row r="7" spans="1:10" x14ac:dyDescent="0.25">
      <c r="A7" s="35">
        <v>45857</v>
      </c>
      <c r="B7" s="36" t="s">
        <v>23</v>
      </c>
      <c r="C7" s="37" t="s">
        <v>12</v>
      </c>
      <c r="D7" s="37" t="s">
        <v>3</v>
      </c>
      <c r="E7" s="50">
        <v>4.17</v>
      </c>
      <c r="F7" s="18"/>
      <c r="G7" s="19"/>
      <c r="I7" s="39" t="s">
        <v>6</v>
      </c>
      <c r="J7" s="38">
        <f t="shared" ca="1" si="0"/>
        <v>361.58000000000004</v>
      </c>
    </row>
    <row r="8" spans="1:10" x14ac:dyDescent="0.25">
      <c r="A8" s="35">
        <v>45857</v>
      </c>
      <c r="B8" s="36" t="s">
        <v>23</v>
      </c>
      <c r="C8" s="37" t="s">
        <v>34</v>
      </c>
      <c r="D8" s="37" t="s">
        <v>81</v>
      </c>
      <c r="E8" s="50">
        <v>24</v>
      </c>
      <c r="F8" s="18"/>
      <c r="G8" s="19"/>
      <c r="I8" s="39" t="s">
        <v>15</v>
      </c>
      <c r="J8" s="38">
        <f t="shared" ca="1" si="0"/>
        <v>295.17999999999995</v>
      </c>
    </row>
    <row r="9" spans="1:10" x14ac:dyDescent="0.25">
      <c r="A9" s="35">
        <v>45857</v>
      </c>
      <c r="B9" s="36" t="s">
        <v>23</v>
      </c>
      <c r="C9" s="37" t="s">
        <v>102</v>
      </c>
      <c r="D9" s="37" t="s">
        <v>81</v>
      </c>
      <c r="E9" s="50">
        <v>710</v>
      </c>
      <c r="F9" s="18"/>
      <c r="G9" s="19"/>
      <c r="I9" s="39" t="s">
        <v>3</v>
      </c>
      <c r="J9" s="38">
        <f t="shared" ca="1" si="0"/>
        <v>902.82</v>
      </c>
    </row>
    <row r="10" spans="1:10" x14ac:dyDescent="0.25">
      <c r="A10" s="35">
        <v>45859</v>
      </c>
      <c r="B10" s="36" t="s">
        <v>23</v>
      </c>
      <c r="C10" s="37" t="s">
        <v>12</v>
      </c>
      <c r="D10" s="37" t="s">
        <v>3</v>
      </c>
      <c r="E10" s="50">
        <v>39.24</v>
      </c>
      <c r="F10" s="18"/>
      <c r="G10" s="19"/>
      <c r="I10" s="39" t="s">
        <v>4</v>
      </c>
      <c r="J10" s="38">
        <f t="shared" ca="1" si="0"/>
        <v>234.59</v>
      </c>
    </row>
    <row r="11" spans="1:10" x14ac:dyDescent="0.25">
      <c r="A11" s="35">
        <v>45859</v>
      </c>
      <c r="B11" s="36" t="s">
        <v>23</v>
      </c>
      <c r="C11" s="37" t="s">
        <v>12</v>
      </c>
      <c r="D11" s="37" t="s">
        <v>81</v>
      </c>
      <c r="E11" s="50">
        <v>94.13</v>
      </c>
      <c r="F11" s="18"/>
      <c r="G11" s="19"/>
      <c r="I11" s="39" t="s">
        <v>84</v>
      </c>
      <c r="J11" s="38">
        <f t="shared" ca="1" si="0"/>
        <v>510.94</v>
      </c>
    </row>
    <row r="12" spans="1:10" x14ac:dyDescent="0.25">
      <c r="A12" s="35">
        <v>45860</v>
      </c>
      <c r="B12" s="36" t="s">
        <v>23</v>
      </c>
      <c r="C12" s="37" t="s">
        <v>12</v>
      </c>
      <c r="D12" s="37" t="s">
        <v>3</v>
      </c>
      <c r="E12" s="50">
        <v>13.17</v>
      </c>
      <c r="F12" s="18"/>
      <c r="G12" s="19"/>
      <c r="I12" s="39" t="s">
        <v>30</v>
      </c>
      <c r="J12" s="38">
        <f>SUMIF($D$2:$D$116,I12,$G$2:$G$116)-SUMIF($D$2:$D$116,I12,$F$2:$F$116)</f>
        <v>5.5</v>
      </c>
    </row>
    <row r="13" spans="1:10" x14ac:dyDescent="0.25">
      <c r="A13" s="35">
        <v>45860</v>
      </c>
      <c r="B13" s="36" t="s">
        <v>23</v>
      </c>
      <c r="C13" s="37" t="s">
        <v>13</v>
      </c>
      <c r="D13" s="37" t="s">
        <v>81</v>
      </c>
      <c r="E13" s="50">
        <v>30.48</v>
      </c>
      <c r="F13" s="50">
        <v>33.11</v>
      </c>
      <c r="G13" s="19"/>
    </row>
    <row r="14" spans="1:10" x14ac:dyDescent="0.25">
      <c r="A14" s="35">
        <v>45861</v>
      </c>
      <c r="B14" s="36" t="s">
        <v>23</v>
      </c>
      <c r="C14" s="37" t="s">
        <v>14</v>
      </c>
      <c r="D14" s="37" t="s">
        <v>5</v>
      </c>
      <c r="E14" s="50">
        <v>27</v>
      </c>
      <c r="F14" s="18"/>
      <c r="G14" s="19"/>
    </row>
    <row r="15" spans="1:10" x14ac:dyDescent="0.25">
      <c r="A15" s="35">
        <v>45862</v>
      </c>
      <c r="B15" s="36" t="s">
        <v>23</v>
      </c>
      <c r="C15" s="37" t="s">
        <v>12</v>
      </c>
      <c r="D15" s="37" t="s">
        <v>3</v>
      </c>
      <c r="E15" s="50">
        <v>26.98</v>
      </c>
      <c r="F15" s="18"/>
      <c r="G15" s="19"/>
    </row>
    <row r="16" spans="1:10" x14ac:dyDescent="0.25">
      <c r="A16" s="35">
        <v>45862</v>
      </c>
      <c r="B16" s="36" t="s">
        <v>23</v>
      </c>
      <c r="C16" s="37" t="s">
        <v>12</v>
      </c>
      <c r="D16" s="37" t="s">
        <v>3</v>
      </c>
      <c r="E16" s="50">
        <v>4.72</v>
      </c>
      <c r="F16" s="18"/>
      <c r="G16" s="19"/>
    </row>
    <row r="17" spans="1:7" x14ac:dyDescent="0.25">
      <c r="A17" s="35">
        <v>45863</v>
      </c>
      <c r="B17" s="36" t="s">
        <v>23</v>
      </c>
      <c r="C17" s="37" t="s">
        <v>12</v>
      </c>
      <c r="D17" s="37" t="s">
        <v>3</v>
      </c>
      <c r="E17" s="18"/>
      <c r="F17" s="50">
        <v>15.44</v>
      </c>
      <c r="G17" s="19"/>
    </row>
    <row r="18" spans="1:7" x14ac:dyDescent="0.25">
      <c r="A18" s="35">
        <v>45863</v>
      </c>
      <c r="B18" s="36" t="s">
        <v>23</v>
      </c>
      <c r="C18" s="37" t="s">
        <v>12</v>
      </c>
      <c r="D18" s="37" t="s">
        <v>3</v>
      </c>
      <c r="E18" s="50">
        <v>89.45</v>
      </c>
      <c r="F18" s="50">
        <v>1.97</v>
      </c>
      <c r="G18" s="19"/>
    </row>
    <row r="19" spans="1:7" x14ac:dyDescent="0.25">
      <c r="A19" s="35">
        <v>45864</v>
      </c>
      <c r="B19" s="36" t="s">
        <v>23</v>
      </c>
      <c r="C19" s="37" t="s">
        <v>43</v>
      </c>
      <c r="D19" s="37" t="s">
        <v>3</v>
      </c>
      <c r="E19" s="50">
        <v>7.4</v>
      </c>
      <c r="F19" s="18"/>
      <c r="G19" s="19"/>
    </row>
    <row r="20" spans="1:7" x14ac:dyDescent="0.25">
      <c r="A20" s="35">
        <v>45864</v>
      </c>
      <c r="B20" s="36" t="s">
        <v>23</v>
      </c>
      <c r="C20" s="37" t="s">
        <v>12</v>
      </c>
      <c r="D20" s="37" t="s">
        <v>3</v>
      </c>
      <c r="E20" s="50">
        <v>1.86</v>
      </c>
      <c r="F20" s="18"/>
      <c r="G20" s="19"/>
    </row>
    <row r="21" spans="1:7" x14ac:dyDescent="0.25">
      <c r="A21" s="35">
        <v>45864</v>
      </c>
      <c r="B21" s="36" t="s">
        <v>23</v>
      </c>
      <c r="C21" s="37" t="s">
        <v>12</v>
      </c>
      <c r="D21" s="37" t="s">
        <v>3</v>
      </c>
      <c r="E21" s="50">
        <v>17.3</v>
      </c>
      <c r="F21" s="50">
        <v>9.9</v>
      </c>
      <c r="G21" s="19"/>
    </row>
    <row r="22" spans="1:7" x14ac:dyDescent="0.25">
      <c r="A22" s="35">
        <v>45864</v>
      </c>
      <c r="B22" s="36" t="s">
        <v>23</v>
      </c>
      <c r="C22" s="37" t="s">
        <v>14</v>
      </c>
      <c r="D22" s="37" t="s">
        <v>5</v>
      </c>
      <c r="E22" s="50">
        <v>15</v>
      </c>
      <c r="F22" s="18"/>
      <c r="G22" s="19"/>
    </row>
    <row r="23" spans="1:7" x14ac:dyDescent="0.25">
      <c r="A23" s="35">
        <v>45864</v>
      </c>
      <c r="B23" s="36" t="s">
        <v>23</v>
      </c>
      <c r="C23" s="37" t="s">
        <v>62</v>
      </c>
      <c r="D23" s="37" t="s">
        <v>84</v>
      </c>
      <c r="E23" s="50">
        <v>160</v>
      </c>
      <c r="F23" s="18"/>
      <c r="G23" s="19"/>
    </row>
    <row r="24" spans="1:7" x14ac:dyDescent="0.25">
      <c r="A24" s="35">
        <v>45866</v>
      </c>
      <c r="B24" s="36" t="s">
        <v>23</v>
      </c>
      <c r="C24" s="37" t="s">
        <v>12</v>
      </c>
      <c r="D24" s="37" t="s">
        <v>3</v>
      </c>
      <c r="E24" s="50">
        <v>3.34</v>
      </c>
      <c r="F24" s="18"/>
      <c r="G24" s="19"/>
    </row>
    <row r="25" spans="1:7" x14ac:dyDescent="0.25">
      <c r="A25" s="35">
        <v>45866</v>
      </c>
      <c r="B25" s="36" t="s">
        <v>23</v>
      </c>
      <c r="C25" s="37" t="s">
        <v>94</v>
      </c>
      <c r="D25" s="37" t="s">
        <v>81</v>
      </c>
      <c r="E25" s="50">
        <v>11.56</v>
      </c>
      <c r="F25" s="18"/>
      <c r="G25" s="19"/>
    </row>
    <row r="26" spans="1:7" x14ac:dyDescent="0.25">
      <c r="A26" s="35">
        <v>45866</v>
      </c>
      <c r="B26" s="41" t="s">
        <v>23</v>
      </c>
      <c r="C26" s="37" t="s">
        <v>7</v>
      </c>
      <c r="D26" s="37" t="s">
        <v>81</v>
      </c>
      <c r="E26" s="50">
        <v>15.44</v>
      </c>
      <c r="F26" s="50">
        <v>15.44</v>
      </c>
      <c r="G26" s="19"/>
    </row>
    <row r="27" spans="1:7" x14ac:dyDescent="0.25">
      <c r="A27" s="35">
        <v>45866</v>
      </c>
      <c r="B27" s="36" t="s">
        <v>23</v>
      </c>
      <c r="C27" s="37" t="s">
        <v>94</v>
      </c>
      <c r="D27" s="37" t="s">
        <v>81</v>
      </c>
      <c r="E27" s="50">
        <v>82.75</v>
      </c>
      <c r="F27" s="18"/>
      <c r="G27" s="9"/>
    </row>
    <row r="28" spans="1:7" x14ac:dyDescent="0.25">
      <c r="A28" s="35">
        <v>45867</v>
      </c>
      <c r="B28" s="41" t="s">
        <v>23</v>
      </c>
      <c r="C28" s="37" t="s">
        <v>12</v>
      </c>
      <c r="D28" s="37" t="s">
        <v>3</v>
      </c>
      <c r="E28" s="50">
        <v>22.47</v>
      </c>
      <c r="F28" s="18"/>
      <c r="G28" s="19"/>
    </row>
    <row r="29" spans="1:7" x14ac:dyDescent="0.25">
      <c r="A29" s="35">
        <v>45868</v>
      </c>
      <c r="B29" s="36" t="s">
        <v>23</v>
      </c>
      <c r="C29" s="37" t="s">
        <v>12</v>
      </c>
      <c r="D29" s="37" t="s">
        <v>3</v>
      </c>
      <c r="E29" s="50">
        <v>11.48</v>
      </c>
      <c r="F29" s="18"/>
      <c r="G29" s="19"/>
    </row>
    <row r="30" spans="1:7" x14ac:dyDescent="0.25">
      <c r="A30" s="35">
        <v>45857</v>
      </c>
      <c r="B30" s="36" t="s">
        <v>23</v>
      </c>
      <c r="C30" s="37" t="s">
        <v>62</v>
      </c>
      <c r="D30" s="37" t="s">
        <v>84</v>
      </c>
      <c r="E30" s="50">
        <v>30.94</v>
      </c>
      <c r="F30" s="18"/>
      <c r="G30" s="19"/>
    </row>
    <row r="31" spans="1:7" x14ac:dyDescent="0.25">
      <c r="A31" s="35">
        <v>45858</v>
      </c>
      <c r="B31" s="36" t="s">
        <v>23</v>
      </c>
      <c r="C31" s="37" t="s">
        <v>12</v>
      </c>
      <c r="D31" s="37" t="s">
        <v>81</v>
      </c>
      <c r="E31" s="50">
        <v>78.64</v>
      </c>
      <c r="F31" s="50">
        <v>78.64</v>
      </c>
      <c r="G31" s="19"/>
    </row>
    <row r="32" spans="1:7" x14ac:dyDescent="0.25">
      <c r="A32" s="35">
        <v>45859</v>
      </c>
      <c r="B32" s="36" t="s">
        <v>23</v>
      </c>
      <c r="C32" s="37" t="s">
        <v>12</v>
      </c>
      <c r="D32" s="37" t="s">
        <v>3</v>
      </c>
      <c r="E32" s="50">
        <v>4.22</v>
      </c>
      <c r="F32" s="18"/>
      <c r="G32" s="19"/>
    </row>
    <row r="33" spans="1:7" x14ac:dyDescent="0.25">
      <c r="A33" s="35">
        <v>45859</v>
      </c>
      <c r="B33" s="36" t="s">
        <v>23</v>
      </c>
      <c r="C33" s="37" t="s">
        <v>12</v>
      </c>
      <c r="D33" s="37" t="s">
        <v>3</v>
      </c>
      <c r="E33" s="50">
        <v>2.88</v>
      </c>
      <c r="F33" s="18"/>
      <c r="G33" s="19"/>
    </row>
    <row r="34" spans="1:7" x14ac:dyDescent="0.25">
      <c r="A34" s="35">
        <v>45859</v>
      </c>
      <c r="B34" s="36" t="s">
        <v>23</v>
      </c>
      <c r="C34" s="37" t="s">
        <v>12</v>
      </c>
      <c r="D34" s="37" t="s">
        <v>3</v>
      </c>
      <c r="E34" s="50">
        <v>9.6300000000000008</v>
      </c>
      <c r="F34" s="50">
        <v>9.56</v>
      </c>
      <c r="G34" s="19"/>
    </row>
    <row r="35" spans="1:7" x14ac:dyDescent="0.25">
      <c r="A35" s="35">
        <v>45859</v>
      </c>
      <c r="B35" s="36" t="s">
        <v>23</v>
      </c>
      <c r="C35" s="37" t="s">
        <v>31</v>
      </c>
      <c r="D35" s="37" t="s">
        <v>30</v>
      </c>
      <c r="E35" s="50">
        <f>22.87-5.5</f>
        <v>17.37</v>
      </c>
      <c r="F35" s="18"/>
      <c r="G35" s="65">
        <v>5.5</v>
      </c>
    </row>
    <row r="36" spans="1:7" x14ac:dyDescent="0.25">
      <c r="A36" s="35">
        <v>45860</v>
      </c>
      <c r="B36" s="36" t="s">
        <v>23</v>
      </c>
      <c r="C36" s="37" t="s">
        <v>12</v>
      </c>
      <c r="D36" s="37" t="s">
        <v>3</v>
      </c>
      <c r="E36" s="50">
        <v>18.59</v>
      </c>
      <c r="F36" s="18"/>
      <c r="G36" s="19"/>
    </row>
    <row r="37" spans="1:7" x14ac:dyDescent="0.25">
      <c r="A37" s="35">
        <v>45860</v>
      </c>
      <c r="B37" s="36" t="s">
        <v>23</v>
      </c>
      <c r="C37" s="37" t="s">
        <v>14</v>
      </c>
      <c r="D37" s="37" t="s">
        <v>5</v>
      </c>
      <c r="E37" s="18"/>
      <c r="F37" s="50">
        <v>99.44</v>
      </c>
      <c r="G37" s="19"/>
    </row>
    <row r="38" spans="1:7" x14ac:dyDescent="0.25">
      <c r="A38" s="35">
        <v>45861</v>
      </c>
      <c r="B38" s="36" t="s">
        <v>23</v>
      </c>
      <c r="C38" s="37" t="s">
        <v>12</v>
      </c>
      <c r="D38" s="37" t="s">
        <v>3</v>
      </c>
      <c r="E38" s="50">
        <v>3.26</v>
      </c>
      <c r="F38" s="18"/>
      <c r="G38" s="19"/>
    </row>
    <row r="39" spans="1:7" x14ac:dyDescent="0.25">
      <c r="A39" s="35">
        <v>45861</v>
      </c>
      <c r="B39" s="36" t="s">
        <v>23</v>
      </c>
      <c r="C39" s="37" t="s">
        <v>14</v>
      </c>
      <c r="D39" s="37" t="s">
        <v>5</v>
      </c>
      <c r="E39" s="50">
        <v>27</v>
      </c>
      <c r="F39" s="18"/>
      <c r="G39" s="19"/>
    </row>
    <row r="40" spans="1:7" x14ac:dyDescent="0.25">
      <c r="A40" s="35">
        <v>45861</v>
      </c>
      <c r="B40" s="36" t="s">
        <v>23</v>
      </c>
      <c r="C40" s="37" t="s">
        <v>34</v>
      </c>
      <c r="D40" s="37" t="s">
        <v>81</v>
      </c>
      <c r="E40" s="50">
        <v>25</v>
      </c>
      <c r="F40" s="18"/>
      <c r="G40" s="19"/>
    </row>
    <row r="41" spans="1:7" x14ac:dyDescent="0.25">
      <c r="A41" s="35">
        <v>45861</v>
      </c>
      <c r="B41" s="36" t="s">
        <v>23</v>
      </c>
      <c r="C41" s="37" t="s">
        <v>62</v>
      </c>
      <c r="D41" s="37" t="s">
        <v>84</v>
      </c>
      <c r="E41" s="50">
        <v>160</v>
      </c>
      <c r="F41" s="18"/>
      <c r="G41" s="19"/>
    </row>
    <row r="42" spans="1:7" x14ac:dyDescent="0.25">
      <c r="A42" s="35">
        <v>45863</v>
      </c>
      <c r="B42" s="36" t="s">
        <v>23</v>
      </c>
      <c r="C42" s="37" t="s">
        <v>12</v>
      </c>
      <c r="D42" s="37" t="s">
        <v>3</v>
      </c>
      <c r="E42" s="50">
        <v>5.64</v>
      </c>
      <c r="F42" s="18"/>
      <c r="G42" s="19"/>
    </row>
    <row r="43" spans="1:7" x14ac:dyDescent="0.25">
      <c r="A43" s="35">
        <v>45863</v>
      </c>
      <c r="B43" s="36" t="s">
        <v>23</v>
      </c>
      <c r="C43" s="37" t="s">
        <v>12</v>
      </c>
      <c r="D43" s="37" t="s">
        <v>3</v>
      </c>
      <c r="E43" s="50">
        <v>4.17</v>
      </c>
      <c r="F43" s="18"/>
      <c r="G43" s="19"/>
    </row>
    <row r="44" spans="1:7" x14ac:dyDescent="0.25">
      <c r="A44" s="35">
        <v>45863</v>
      </c>
      <c r="B44" s="36" t="s">
        <v>23</v>
      </c>
      <c r="C44" s="37" t="s">
        <v>89</v>
      </c>
      <c r="D44" s="37" t="s">
        <v>3</v>
      </c>
      <c r="E44" s="50">
        <v>12</v>
      </c>
      <c r="F44" s="18"/>
      <c r="G44" s="19"/>
    </row>
    <row r="45" spans="1:7" x14ac:dyDescent="0.25">
      <c r="A45" s="35">
        <v>45863</v>
      </c>
      <c r="B45" s="36" t="s">
        <v>23</v>
      </c>
      <c r="C45" s="37" t="s">
        <v>12</v>
      </c>
      <c r="D45" s="37" t="s">
        <v>3</v>
      </c>
      <c r="E45" s="50">
        <v>1.64</v>
      </c>
      <c r="F45" s="18"/>
      <c r="G45" s="19"/>
    </row>
    <row r="46" spans="1:7" x14ac:dyDescent="0.25">
      <c r="A46" s="35">
        <v>45864</v>
      </c>
      <c r="B46" s="36" t="s">
        <v>23</v>
      </c>
      <c r="C46" s="37" t="s">
        <v>12</v>
      </c>
      <c r="D46" s="37" t="s">
        <v>3</v>
      </c>
      <c r="E46" s="50">
        <v>7.01</v>
      </c>
      <c r="F46" s="18"/>
      <c r="G46" s="19"/>
    </row>
    <row r="47" spans="1:7" x14ac:dyDescent="0.25">
      <c r="A47" s="35">
        <v>45865</v>
      </c>
      <c r="B47" s="36" t="s">
        <v>23</v>
      </c>
      <c r="C47" s="37" t="s">
        <v>14</v>
      </c>
      <c r="D47" s="37" t="s">
        <v>5</v>
      </c>
      <c r="E47" s="50">
        <v>190</v>
      </c>
      <c r="F47" s="18"/>
      <c r="G47" s="19"/>
    </row>
    <row r="48" spans="1:7" x14ac:dyDescent="0.25">
      <c r="A48" s="35">
        <v>45865</v>
      </c>
      <c r="B48" s="36" t="s">
        <v>23</v>
      </c>
      <c r="C48" s="37" t="s">
        <v>7</v>
      </c>
      <c r="D48" s="37" t="s">
        <v>81</v>
      </c>
      <c r="E48" s="50">
        <v>9.3699999999999992</v>
      </c>
      <c r="F48" s="18"/>
      <c r="G48" s="19"/>
    </row>
    <row r="49" spans="1:7" x14ac:dyDescent="0.25">
      <c r="A49" s="35">
        <v>45865</v>
      </c>
      <c r="B49" s="36" t="s">
        <v>23</v>
      </c>
      <c r="C49" s="37" t="s">
        <v>14</v>
      </c>
      <c r="D49" s="37" t="s">
        <v>5</v>
      </c>
      <c r="E49" s="50">
        <v>16.579999999999998</v>
      </c>
      <c r="F49" s="18"/>
      <c r="G49" s="19"/>
    </row>
    <row r="50" spans="1:7" x14ac:dyDescent="0.25">
      <c r="A50" s="35">
        <v>45867</v>
      </c>
      <c r="B50" s="36" t="s">
        <v>23</v>
      </c>
      <c r="C50" s="37" t="s">
        <v>12</v>
      </c>
      <c r="D50" s="37" t="s">
        <v>3</v>
      </c>
      <c r="E50" s="50">
        <v>58.22</v>
      </c>
      <c r="F50" s="18"/>
      <c r="G50" s="19"/>
    </row>
    <row r="51" spans="1:7" x14ac:dyDescent="0.25">
      <c r="A51" s="35">
        <v>45867</v>
      </c>
      <c r="B51" s="36" t="s">
        <v>23</v>
      </c>
      <c r="C51" s="37" t="s">
        <v>7</v>
      </c>
      <c r="D51" s="37" t="s">
        <v>81</v>
      </c>
      <c r="E51" s="50">
        <v>60.98</v>
      </c>
      <c r="F51" s="50">
        <v>30.93</v>
      </c>
      <c r="G51" s="19"/>
    </row>
    <row r="52" spans="1:7" x14ac:dyDescent="0.25">
      <c r="A52" s="35">
        <v>45867</v>
      </c>
      <c r="B52" s="36" t="s">
        <v>23</v>
      </c>
      <c r="C52" s="37" t="s">
        <v>12</v>
      </c>
      <c r="D52" s="37" t="s">
        <v>3</v>
      </c>
      <c r="E52" s="50">
        <v>62.2</v>
      </c>
      <c r="F52" s="18"/>
      <c r="G52" s="19"/>
    </row>
    <row r="53" spans="1:7" x14ac:dyDescent="0.25">
      <c r="A53" s="35">
        <v>45868</v>
      </c>
      <c r="B53" s="36" t="s">
        <v>23</v>
      </c>
      <c r="C53" s="37" t="s">
        <v>12</v>
      </c>
      <c r="D53" s="37" t="s">
        <v>3</v>
      </c>
      <c r="E53" s="50">
        <v>6.65</v>
      </c>
      <c r="F53" s="18"/>
      <c r="G53" s="19"/>
    </row>
    <row r="54" spans="1:7" x14ac:dyDescent="0.25">
      <c r="A54" s="35">
        <v>45870</v>
      </c>
      <c r="B54" s="36" t="s">
        <v>23</v>
      </c>
      <c r="C54" s="37" t="s">
        <v>12</v>
      </c>
      <c r="D54" s="37" t="s">
        <v>3</v>
      </c>
      <c r="E54" s="50">
        <v>8.77</v>
      </c>
      <c r="F54" s="18"/>
      <c r="G54" s="19"/>
    </row>
    <row r="55" spans="1:7" x14ac:dyDescent="0.25">
      <c r="A55" s="35">
        <v>45870</v>
      </c>
      <c r="B55" s="36" t="s">
        <v>23</v>
      </c>
      <c r="C55" s="37" t="s">
        <v>4</v>
      </c>
      <c r="D55" s="37" t="s">
        <v>4</v>
      </c>
      <c r="E55" s="50">
        <v>10.78</v>
      </c>
      <c r="F55" s="18"/>
      <c r="G55" s="19"/>
    </row>
    <row r="56" spans="1:7" x14ac:dyDescent="0.25">
      <c r="A56" s="35">
        <v>45870</v>
      </c>
      <c r="B56" s="36" t="s">
        <v>23</v>
      </c>
      <c r="C56" s="37" t="s">
        <v>4</v>
      </c>
      <c r="D56" s="37" t="s">
        <v>4</v>
      </c>
      <c r="E56" s="50">
        <v>71.650000000000006</v>
      </c>
      <c r="F56" s="18"/>
      <c r="G56" s="19"/>
    </row>
    <row r="57" spans="1:7" x14ac:dyDescent="0.25">
      <c r="A57" s="35">
        <v>45870</v>
      </c>
      <c r="B57" s="36" t="s">
        <v>23</v>
      </c>
      <c r="C57" s="37" t="s">
        <v>94</v>
      </c>
      <c r="D57" s="37" t="s">
        <v>81</v>
      </c>
      <c r="E57" s="50">
        <v>127.36</v>
      </c>
      <c r="F57" s="18"/>
      <c r="G57" s="19"/>
    </row>
    <row r="58" spans="1:7" x14ac:dyDescent="0.25">
      <c r="A58" s="35">
        <v>45870</v>
      </c>
      <c r="B58" s="36" t="s">
        <v>23</v>
      </c>
      <c r="C58" s="37" t="s">
        <v>66</v>
      </c>
      <c r="D58" s="37" t="s">
        <v>6</v>
      </c>
      <c r="E58" s="50">
        <v>48.71</v>
      </c>
      <c r="F58" s="18"/>
      <c r="G58" s="19"/>
    </row>
    <row r="59" spans="1:7" x14ac:dyDescent="0.25">
      <c r="A59" s="35">
        <v>45871</v>
      </c>
      <c r="B59" s="36" t="s">
        <v>23</v>
      </c>
      <c r="C59" s="37" t="s">
        <v>66</v>
      </c>
      <c r="D59" s="37" t="s">
        <v>6</v>
      </c>
      <c r="E59" s="50">
        <v>91.1</v>
      </c>
      <c r="F59" s="18"/>
      <c r="G59" s="19"/>
    </row>
    <row r="60" spans="1:7" x14ac:dyDescent="0.25">
      <c r="A60" s="35">
        <v>45871</v>
      </c>
      <c r="B60" s="36" t="s">
        <v>23</v>
      </c>
      <c r="C60" s="37" t="s">
        <v>38</v>
      </c>
      <c r="D60" s="37" t="s">
        <v>3</v>
      </c>
      <c r="E60" s="50">
        <v>170.41</v>
      </c>
      <c r="F60" s="18"/>
      <c r="G60" s="19"/>
    </row>
    <row r="61" spans="1:7" x14ac:dyDescent="0.25">
      <c r="A61" s="35">
        <v>45871</v>
      </c>
      <c r="B61" s="36" t="s">
        <v>23</v>
      </c>
      <c r="C61" s="37" t="s">
        <v>12</v>
      </c>
      <c r="D61" s="37" t="s">
        <v>3</v>
      </c>
      <c r="E61" s="50">
        <v>4</v>
      </c>
      <c r="F61" s="18"/>
      <c r="G61" s="19"/>
    </row>
    <row r="62" spans="1:7" x14ac:dyDescent="0.25">
      <c r="A62" s="35">
        <v>45871</v>
      </c>
      <c r="B62" s="36" t="s">
        <v>23</v>
      </c>
      <c r="C62" s="37" t="s">
        <v>38</v>
      </c>
      <c r="D62" s="37" t="s">
        <v>30</v>
      </c>
      <c r="E62" s="50">
        <v>61.33</v>
      </c>
      <c r="F62" s="18"/>
      <c r="G62" s="19"/>
    </row>
    <row r="63" spans="1:7" x14ac:dyDescent="0.25">
      <c r="A63" s="35">
        <v>45871</v>
      </c>
      <c r="B63" s="36" t="s">
        <v>23</v>
      </c>
      <c r="C63" s="37" t="s">
        <v>38</v>
      </c>
      <c r="D63" s="37" t="s">
        <v>3</v>
      </c>
      <c r="E63" s="50">
        <v>56.44</v>
      </c>
      <c r="F63" s="18"/>
      <c r="G63" s="19"/>
    </row>
    <row r="64" spans="1:7" x14ac:dyDescent="0.25">
      <c r="A64" s="35">
        <v>45872</v>
      </c>
      <c r="B64" s="36" t="s">
        <v>23</v>
      </c>
      <c r="C64" s="37" t="s">
        <v>7</v>
      </c>
      <c r="D64" s="37" t="s">
        <v>81</v>
      </c>
      <c r="E64" s="18"/>
      <c r="F64" s="50">
        <v>16.5</v>
      </c>
      <c r="G64" s="19"/>
    </row>
    <row r="65" spans="1:7" x14ac:dyDescent="0.25">
      <c r="A65" s="35">
        <v>45873</v>
      </c>
      <c r="B65" s="36" t="s">
        <v>23</v>
      </c>
      <c r="C65" s="37" t="s">
        <v>66</v>
      </c>
      <c r="D65" s="37" t="s">
        <v>6</v>
      </c>
      <c r="E65" s="50">
        <v>1.31</v>
      </c>
      <c r="F65" s="18"/>
      <c r="G65" s="19"/>
    </row>
    <row r="66" spans="1:7" x14ac:dyDescent="0.25">
      <c r="A66" s="35">
        <v>45873</v>
      </c>
      <c r="B66" s="36" t="s">
        <v>23</v>
      </c>
      <c r="C66" s="37" t="s">
        <v>12</v>
      </c>
      <c r="D66" s="37" t="s">
        <v>3</v>
      </c>
      <c r="E66" s="50">
        <v>18.12</v>
      </c>
      <c r="F66" s="18"/>
      <c r="G66" s="19"/>
    </row>
    <row r="67" spans="1:7" x14ac:dyDescent="0.25">
      <c r="A67" s="35">
        <v>45873</v>
      </c>
      <c r="B67" s="36" t="s">
        <v>23</v>
      </c>
      <c r="C67" s="37" t="s">
        <v>12</v>
      </c>
      <c r="D67" s="37" t="s">
        <v>3</v>
      </c>
      <c r="E67" s="50">
        <v>5.07</v>
      </c>
      <c r="F67" s="18"/>
      <c r="G67" s="19"/>
    </row>
    <row r="68" spans="1:7" x14ac:dyDescent="0.25">
      <c r="A68" s="35">
        <v>45875</v>
      </c>
      <c r="B68" s="36" t="s">
        <v>23</v>
      </c>
      <c r="C68" s="37" t="s">
        <v>12</v>
      </c>
      <c r="D68" s="37" t="s">
        <v>3</v>
      </c>
      <c r="E68" s="50">
        <v>16.98</v>
      </c>
      <c r="F68" s="18"/>
      <c r="G68" s="19"/>
    </row>
    <row r="69" spans="1:7" x14ac:dyDescent="0.25">
      <c r="A69" s="35">
        <v>45875</v>
      </c>
      <c r="B69" s="36" t="s">
        <v>23</v>
      </c>
      <c r="C69" s="37" t="s">
        <v>62</v>
      </c>
      <c r="D69" s="37" t="s">
        <v>84</v>
      </c>
      <c r="E69" s="50">
        <v>160</v>
      </c>
      <c r="F69" s="18"/>
      <c r="G69" s="19"/>
    </row>
    <row r="70" spans="1:7" x14ac:dyDescent="0.25">
      <c r="A70" s="35">
        <v>45847</v>
      </c>
      <c r="B70" s="36" t="s">
        <v>16</v>
      </c>
      <c r="C70" s="37" t="s">
        <v>66</v>
      </c>
      <c r="D70" s="37" t="s">
        <v>6</v>
      </c>
      <c r="E70" s="50">
        <v>11.61</v>
      </c>
      <c r="F70" s="18"/>
      <c r="G70" s="19"/>
    </row>
    <row r="71" spans="1:7" x14ac:dyDescent="0.25">
      <c r="A71" s="35">
        <v>45848</v>
      </c>
      <c r="B71" s="36" t="s">
        <v>16</v>
      </c>
      <c r="C71" s="37" t="s">
        <v>12</v>
      </c>
      <c r="D71" s="37" t="s">
        <v>6</v>
      </c>
      <c r="E71" s="50">
        <v>3.75</v>
      </c>
      <c r="F71" s="18"/>
      <c r="G71" s="19"/>
    </row>
    <row r="72" spans="1:7" x14ac:dyDescent="0.25">
      <c r="A72" s="35">
        <v>45850</v>
      </c>
      <c r="B72" s="36" t="s">
        <v>16</v>
      </c>
      <c r="C72" s="37" t="s">
        <v>66</v>
      </c>
      <c r="D72" s="37" t="s">
        <v>6</v>
      </c>
      <c r="E72" s="50">
        <v>80</v>
      </c>
      <c r="F72" s="18"/>
      <c r="G72" s="19"/>
    </row>
    <row r="73" spans="1:7" x14ac:dyDescent="0.25">
      <c r="A73" s="35">
        <v>45850</v>
      </c>
      <c r="B73" s="36" t="s">
        <v>16</v>
      </c>
      <c r="C73" s="37" t="s">
        <v>66</v>
      </c>
      <c r="D73" s="37" t="s">
        <v>6</v>
      </c>
      <c r="E73" s="50">
        <v>1.75</v>
      </c>
      <c r="F73" s="18"/>
      <c r="G73" s="19"/>
    </row>
    <row r="74" spans="1:7" x14ac:dyDescent="0.25">
      <c r="A74" s="35">
        <v>45852</v>
      </c>
      <c r="B74" s="36" t="s">
        <v>16</v>
      </c>
      <c r="C74" s="37" t="s">
        <v>12</v>
      </c>
      <c r="D74" s="37" t="s">
        <v>15</v>
      </c>
      <c r="E74" s="50">
        <v>31.12</v>
      </c>
      <c r="F74" s="18"/>
      <c r="G74" s="19"/>
    </row>
    <row r="75" spans="1:7" x14ac:dyDescent="0.25">
      <c r="A75" s="35">
        <v>45856</v>
      </c>
      <c r="B75" s="36" t="s">
        <v>16</v>
      </c>
      <c r="C75" s="37" t="s">
        <v>12</v>
      </c>
      <c r="D75" s="37" t="s">
        <v>15</v>
      </c>
      <c r="E75" s="50">
        <v>24.84</v>
      </c>
      <c r="F75" s="18"/>
      <c r="G75" s="19"/>
    </row>
    <row r="76" spans="1:7" x14ac:dyDescent="0.25">
      <c r="A76" s="35">
        <v>45857</v>
      </c>
      <c r="B76" s="36" t="s">
        <v>16</v>
      </c>
      <c r="C76" s="37" t="s">
        <v>12</v>
      </c>
      <c r="D76" s="37" t="s">
        <v>15</v>
      </c>
      <c r="E76" s="50">
        <v>22.71</v>
      </c>
      <c r="F76" s="18"/>
      <c r="G76" s="19"/>
    </row>
    <row r="77" spans="1:7" x14ac:dyDescent="0.25">
      <c r="A77" s="35">
        <v>45859</v>
      </c>
      <c r="B77" s="36" t="s">
        <v>16</v>
      </c>
      <c r="C77" s="37" t="s">
        <v>66</v>
      </c>
      <c r="D77" s="37" t="s">
        <v>6</v>
      </c>
      <c r="E77" s="50">
        <v>5.26</v>
      </c>
      <c r="F77" s="18"/>
      <c r="G77" s="19"/>
    </row>
    <row r="78" spans="1:7" x14ac:dyDescent="0.25">
      <c r="A78" s="35">
        <v>45860</v>
      </c>
      <c r="B78" s="36" t="s">
        <v>16</v>
      </c>
      <c r="C78" s="37" t="s">
        <v>12</v>
      </c>
      <c r="D78" s="37" t="s">
        <v>15</v>
      </c>
      <c r="E78" s="50">
        <v>10.24</v>
      </c>
      <c r="F78" s="18"/>
      <c r="G78" s="19"/>
    </row>
    <row r="79" spans="1:7" x14ac:dyDescent="0.25">
      <c r="A79" s="35">
        <v>45861</v>
      </c>
      <c r="B79" s="36" t="s">
        <v>16</v>
      </c>
      <c r="C79" s="37" t="s">
        <v>16</v>
      </c>
      <c r="D79" s="37" t="s">
        <v>3</v>
      </c>
      <c r="E79" s="50">
        <v>63.7</v>
      </c>
      <c r="F79" s="18"/>
      <c r="G79" s="19"/>
    </row>
    <row r="80" spans="1:7" x14ac:dyDescent="0.25">
      <c r="A80" s="35">
        <v>45861</v>
      </c>
      <c r="B80" s="36" t="s">
        <v>16</v>
      </c>
      <c r="C80" s="37" t="s">
        <v>16</v>
      </c>
      <c r="D80" s="37" t="s">
        <v>15</v>
      </c>
      <c r="E80" s="50">
        <v>27.88</v>
      </c>
      <c r="F80" s="18"/>
      <c r="G80" s="19"/>
    </row>
    <row r="81" spans="1:7" x14ac:dyDescent="0.25">
      <c r="A81" s="35">
        <v>45861</v>
      </c>
      <c r="B81" s="36" t="s">
        <v>16</v>
      </c>
      <c r="C81" s="37" t="s">
        <v>66</v>
      </c>
      <c r="D81" s="37" t="s">
        <v>6</v>
      </c>
      <c r="E81" s="50">
        <v>32.159999999999997</v>
      </c>
      <c r="F81" s="18"/>
      <c r="G81" s="19"/>
    </row>
    <row r="82" spans="1:7" x14ac:dyDescent="0.25">
      <c r="A82" s="35">
        <v>45862</v>
      </c>
      <c r="B82" s="36" t="s">
        <v>16</v>
      </c>
      <c r="C82" s="37" t="s">
        <v>12</v>
      </c>
      <c r="D82" s="37" t="s">
        <v>15</v>
      </c>
      <c r="E82" s="50">
        <v>34.76</v>
      </c>
      <c r="F82" s="18"/>
      <c r="G82" s="19"/>
    </row>
    <row r="83" spans="1:7" x14ac:dyDescent="0.25">
      <c r="A83" s="35">
        <v>45864</v>
      </c>
      <c r="B83" s="36" t="s">
        <v>16</v>
      </c>
      <c r="C83" s="37" t="s">
        <v>16</v>
      </c>
      <c r="D83" s="37" t="s">
        <v>15</v>
      </c>
      <c r="E83" s="50">
        <v>14.9</v>
      </c>
      <c r="F83" s="18"/>
      <c r="G83" s="19"/>
    </row>
    <row r="84" spans="1:7" x14ac:dyDescent="0.25">
      <c r="A84" s="35">
        <v>45864</v>
      </c>
      <c r="B84" s="36" t="s">
        <v>16</v>
      </c>
      <c r="C84" s="37" t="s">
        <v>66</v>
      </c>
      <c r="D84" s="37" t="s">
        <v>6</v>
      </c>
      <c r="E84" s="50">
        <v>49.63</v>
      </c>
      <c r="F84" s="18"/>
      <c r="G84" s="19"/>
    </row>
    <row r="85" spans="1:7" x14ac:dyDescent="0.25">
      <c r="A85" s="35">
        <v>45864</v>
      </c>
      <c r="B85" s="36" t="s">
        <v>16</v>
      </c>
      <c r="C85" s="37" t="s">
        <v>12</v>
      </c>
      <c r="D85" s="37" t="s">
        <v>6</v>
      </c>
      <c r="E85" s="50">
        <v>6.63</v>
      </c>
      <c r="F85" s="18"/>
      <c r="G85" s="19"/>
    </row>
    <row r="86" spans="1:7" x14ac:dyDescent="0.25">
      <c r="A86" s="35">
        <v>45865</v>
      </c>
      <c r="B86" s="36" t="s">
        <v>16</v>
      </c>
      <c r="C86" s="37" t="s">
        <v>42</v>
      </c>
      <c r="D86" s="37" t="s">
        <v>6</v>
      </c>
      <c r="E86" s="50">
        <v>2.36</v>
      </c>
      <c r="F86" s="18"/>
      <c r="G86" s="19"/>
    </row>
    <row r="87" spans="1:7" x14ac:dyDescent="0.25">
      <c r="A87" s="35">
        <v>45865</v>
      </c>
      <c r="B87" s="36" t="s">
        <v>16</v>
      </c>
      <c r="C87" s="37" t="s">
        <v>42</v>
      </c>
      <c r="D87" s="37" t="s">
        <v>15</v>
      </c>
      <c r="E87" s="50">
        <v>36.36</v>
      </c>
      <c r="F87" s="18"/>
      <c r="G87" s="19"/>
    </row>
    <row r="88" spans="1:7" x14ac:dyDescent="0.25">
      <c r="A88" s="35">
        <v>45866</v>
      </c>
      <c r="B88" s="36" t="s">
        <v>16</v>
      </c>
      <c r="C88" s="37" t="s">
        <v>12</v>
      </c>
      <c r="D88" s="37" t="s">
        <v>15</v>
      </c>
      <c r="E88" s="50">
        <v>24.58</v>
      </c>
      <c r="F88" s="18"/>
      <c r="G88" s="19"/>
    </row>
    <row r="89" spans="1:7" x14ac:dyDescent="0.25">
      <c r="A89" s="35">
        <v>45866</v>
      </c>
      <c r="B89" s="36" t="s">
        <v>16</v>
      </c>
      <c r="C89" s="37" t="s">
        <v>12</v>
      </c>
      <c r="D89" s="37" t="s">
        <v>15</v>
      </c>
      <c r="E89" s="50">
        <v>40.450000000000003</v>
      </c>
      <c r="F89" s="18"/>
      <c r="G89" s="19"/>
    </row>
    <row r="90" spans="1:7" x14ac:dyDescent="0.25">
      <c r="A90" s="35">
        <v>45867</v>
      </c>
      <c r="B90" s="36" t="s">
        <v>16</v>
      </c>
      <c r="C90" s="37" t="s">
        <v>12</v>
      </c>
      <c r="D90" s="37" t="s">
        <v>6</v>
      </c>
      <c r="E90" s="50">
        <v>3.75</v>
      </c>
      <c r="F90" s="18"/>
      <c r="G90" s="19"/>
    </row>
    <row r="91" spans="1:7" x14ac:dyDescent="0.25">
      <c r="A91" s="35">
        <v>45868</v>
      </c>
      <c r="B91" s="36" t="s">
        <v>16</v>
      </c>
      <c r="C91" s="37" t="s">
        <v>66</v>
      </c>
      <c r="D91" s="37" t="s">
        <v>6</v>
      </c>
      <c r="E91" s="50">
        <v>4.41</v>
      </c>
      <c r="F91" s="18"/>
      <c r="G91" s="19"/>
    </row>
    <row r="92" spans="1:7" x14ac:dyDescent="0.25">
      <c r="A92" s="35">
        <v>45869</v>
      </c>
      <c r="B92" s="36" t="s">
        <v>16</v>
      </c>
      <c r="C92" s="37" t="s">
        <v>66</v>
      </c>
      <c r="D92" s="37" t="s">
        <v>6</v>
      </c>
      <c r="E92" s="50">
        <v>5.72</v>
      </c>
      <c r="F92" s="18"/>
      <c r="G92" s="19"/>
    </row>
    <row r="93" spans="1:7" x14ac:dyDescent="0.25">
      <c r="A93" s="35">
        <v>45870</v>
      </c>
      <c r="B93" s="36" t="s">
        <v>16</v>
      </c>
      <c r="C93" s="37" t="s">
        <v>66</v>
      </c>
      <c r="D93" s="37" t="s">
        <v>6</v>
      </c>
      <c r="E93" s="50">
        <v>5.66</v>
      </c>
      <c r="F93" s="18"/>
      <c r="G93" s="19"/>
    </row>
    <row r="94" spans="1:7" x14ac:dyDescent="0.25">
      <c r="A94" s="35">
        <v>45873</v>
      </c>
      <c r="B94" s="36" t="s">
        <v>16</v>
      </c>
      <c r="C94" s="37" t="s">
        <v>12</v>
      </c>
      <c r="D94" s="37" t="s">
        <v>15</v>
      </c>
      <c r="E94" s="50">
        <v>27.34</v>
      </c>
      <c r="F94" s="18"/>
      <c r="G94" s="19"/>
    </row>
    <row r="95" spans="1:7" x14ac:dyDescent="0.25">
      <c r="A95" s="35">
        <v>45873</v>
      </c>
      <c r="B95" s="36" t="s">
        <v>16</v>
      </c>
      <c r="C95" s="37" t="s">
        <v>66</v>
      </c>
      <c r="D95" s="37" t="s">
        <v>6</v>
      </c>
      <c r="E95" s="50">
        <v>7.77</v>
      </c>
      <c r="F95" s="18"/>
      <c r="G95" s="19"/>
    </row>
    <row r="96" spans="1:7" x14ac:dyDescent="0.25">
      <c r="A96" s="8"/>
      <c r="B96" s="4"/>
      <c r="C96" s="5"/>
      <c r="D96" s="5"/>
      <c r="E96" s="18"/>
      <c r="F96" s="18"/>
      <c r="G96" s="19"/>
    </row>
    <row r="97" spans="1:7" x14ac:dyDescent="0.25">
      <c r="A97" s="8"/>
      <c r="B97" s="4"/>
      <c r="C97" s="5"/>
      <c r="D97" s="5"/>
      <c r="E97" s="18"/>
      <c r="F97" s="18"/>
      <c r="G97" s="19"/>
    </row>
    <row r="98" spans="1:7" x14ac:dyDescent="0.25">
      <c r="A98" s="8"/>
      <c r="B98" s="4"/>
      <c r="C98" s="5"/>
      <c r="D98" s="5"/>
      <c r="E98" s="18"/>
      <c r="F98" s="18"/>
      <c r="G98" s="19"/>
    </row>
    <row r="99" spans="1:7" x14ac:dyDescent="0.25">
      <c r="A99" s="8"/>
      <c r="B99" s="4"/>
      <c r="C99" s="5"/>
      <c r="D99" s="5"/>
      <c r="E99" s="18"/>
      <c r="F99" s="18"/>
      <c r="G99" s="19"/>
    </row>
    <row r="100" spans="1:7" x14ac:dyDescent="0.25">
      <c r="A100" s="8"/>
      <c r="B100" s="4"/>
      <c r="C100" s="5"/>
      <c r="D100" s="5"/>
      <c r="E100" s="18"/>
      <c r="F100" s="18"/>
      <c r="G100" s="19"/>
    </row>
    <row r="101" spans="1:7" x14ac:dyDescent="0.25">
      <c r="A101" s="8"/>
      <c r="B101" s="4"/>
      <c r="C101" s="5"/>
      <c r="D101" s="5"/>
      <c r="E101" s="18"/>
      <c r="F101" s="18"/>
      <c r="G101" s="19"/>
    </row>
    <row r="102" spans="1:7" x14ac:dyDescent="0.25">
      <c r="A102" s="8"/>
      <c r="B102" s="4"/>
      <c r="C102" s="5"/>
      <c r="D102" s="5"/>
      <c r="E102" s="18"/>
      <c r="F102" s="18"/>
      <c r="G102" s="19"/>
    </row>
    <row r="103" spans="1:7" x14ac:dyDescent="0.25">
      <c r="A103" s="8"/>
      <c r="B103" s="4"/>
      <c r="C103" s="5"/>
      <c r="D103" s="5"/>
      <c r="E103" s="18"/>
      <c r="F103" s="18"/>
      <c r="G103" s="19"/>
    </row>
    <row r="104" spans="1:7" x14ac:dyDescent="0.25">
      <c r="A104" s="8"/>
      <c r="B104" s="4"/>
      <c r="C104" s="5"/>
      <c r="D104" s="5"/>
      <c r="E104" s="18"/>
      <c r="F104" s="18"/>
      <c r="G104" s="19"/>
    </row>
    <row r="105" spans="1:7" x14ac:dyDescent="0.25">
      <c r="A105" s="8"/>
      <c r="B105" s="4"/>
      <c r="C105" s="5"/>
      <c r="D105" s="5"/>
      <c r="E105" s="18"/>
      <c r="F105" s="18"/>
      <c r="G105" s="19"/>
    </row>
    <row r="106" spans="1:7" x14ac:dyDescent="0.25">
      <c r="A106" s="8"/>
      <c r="B106" s="4"/>
      <c r="C106" s="5"/>
      <c r="D106" s="5"/>
      <c r="E106" s="18"/>
      <c r="F106" s="18"/>
      <c r="G106" s="19"/>
    </row>
    <row r="107" spans="1:7" x14ac:dyDescent="0.25">
      <c r="A107" s="8"/>
      <c r="B107" s="4"/>
      <c r="C107" s="5"/>
      <c r="D107" s="5"/>
      <c r="E107" s="18"/>
      <c r="F107" s="18"/>
      <c r="G107" s="19"/>
    </row>
    <row r="108" spans="1:7" x14ac:dyDescent="0.25">
      <c r="A108" s="8"/>
      <c r="B108" s="4"/>
      <c r="C108" s="5"/>
      <c r="D108" s="5"/>
      <c r="E108" s="18"/>
      <c r="F108" s="18"/>
      <c r="G108" s="19"/>
    </row>
    <row r="109" spans="1:7" x14ac:dyDescent="0.25">
      <c r="A109" s="8"/>
      <c r="B109" s="4"/>
      <c r="C109" s="5"/>
      <c r="D109" s="5"/>
      <c r="E109" s="18"/>
      <c r="F109" s="18"/>
      <c r="G109" s="19"/>
    </row>
    <row r="110" spans="1:7" x14ac:dyDescent="0.25">
      <c r="A110" s="8"/>
      <c r="B110" s="4"/>
      <c r="C110" s="5"/>
      <c r="D110" s="5"/>
      <c r="E110" s="18"/>
      <c r="F110" s="18"/>
      <c r="G110" s="19"/>
    </row>
    <row r="111" spans="1:7" x14ac:dyDescent="0.25">
      <c r="A111" s="8"/>
      <c r="B111" s="4"/>
      <c r="C111" s="5"/>
      <c r="D111" s="5"/>
      <c r="E111" s="18"/>
      <c r="F111" s="18"/>
      <c r="G111" s="19"/>
    </row>
    <row r="112" spans="1:7" x14ac:dyDescent="0.25">
      <c r="A112" s="8"/>
      <c r="B112" s="4"/>
      <c r="C112" s="5"/>
      <c r="D112" s="5"/>
      <c r="E112" s="18"/>
      <c r="F112" s="18"/>
      <c r="G112" s="19"/>
    </row>
    <row r="113" spans="1:7" x14ac:dyDescent="0.25">
      <c r="A113" s="8"/>
      <c r="B113" s="4"/>
      <c r="C113" s="5"/>
      <c r="D113" s="5"/>
      <c r="E113" s="18"/>
      <c r="F113" s="18"/>
      <c r="G113" s="19"/>
    </row>
    <row r="114" spans="1:7" x14ac:dyDescent="0.25">
      <c r="A114" s="8"/>
      <c r="B114" s="4"/>
      <c r="C114" s="5"/>
      <c r="D114" s="5"/>
      <c r="E114" s="18"/>
      <c r="F114" s="18"/>
      <c r="G114" s="19"/>
    </row>
    <row r="115" spans="1:7" x14ac:dyDescent="0.25">
      <c r="A115" s="8"/>
      <c r="B115" s="4"/>
      <c r="C115" s="5"/>
      <c r="D115" s="5"/>
      <c r="E115" s="18"/>
      <c r="F115" s="18"/>
      <c r="G115" s="19"/>
    </row>
    <row r="116" spans="1:7" x14ac:dyDescent="0.25">
      <c r="A116" s="8"/>
      <c r="B116" s="4"/>
      <c r="C116" s="5"/>
      <c r="D116" s="5"/>
      <c r="F116" s="18"/>
      <c r="G116" s="19"/>
    </row>
    <row r="117" spans="1:7" x14ac:dyDescent="0.25">
      <c r="A117" s="42" t="s">
        <v>21</v>
      </c>
      <c r="B117" s="43"/>
      <c r="C117" s="2"/>
      <c r="D117" s="2"/>
      <c r="E117" s="38">
        <f>SUM(E2:E103)</f>
        <v>3965.9700000000003</v>
      </c>
      <c r="F117" s="38">
        <f>SUM(F2:F116)</f>
        <v>1383.9100000000003</v>
      </c>
      <c r="G117" s="44">
        <f>SUM(G5:G116)</f>
        <v>5.5</v>
      </c>
    </row>
    <row r="118" spans="1:7" x14ac:dyDescent="0.25">
      <c r="A118" s="45" t="s">
        <v>17</v>
      </c>
      <c r="B118" s="46"/>
      <c r="C118" s="51">
        <f>SUMIF(B2:B116,"Capitol One",F2:F116)</f>
        <v>1383.9100000000003</v>
      </c>
      <c r="D118" s="2"/>
      <c r="E118" s="2"/>
      <c r="F118" s="2"/>
      <c r="G118" s="9"/>
    </row>
    <row r="119" spans="1:7" x14ac:dyDescent="0.25">
      <c r="A119" s="42" t="s">
        <v>18</v>
      </c>
      <c r="B119" s="43"/>
      <c r="C119" s="38">
        <f>SUMIF(B2:B116,"Sam's Club",F2:F116)</f>
        <v>0</v>
      </c>
      <c r="D119" s="2"/>
      <c r="E119" s="2"/>
      <c r="F119" s="2"/>
      <c r="G119" s="9"/>
    </row>
    <row r="120" spans="1:7" x14ac:dyDescent="0.25">
      <c r="A120" s="42" t="s">
        <v>90</v>
      </c>
      <c r="B120" s="43"/>
      <c r="C120" s="51">
        <f>SUMIF(B2:B116,"Discover",F2:F116)</f>
        <v>0</v>
      </c>
      <c r="D120" s="17"/>
      <c r="E120" s="17"/>
      <c r="F120" s="17"/>
      <c r="G120" s="13"/>
    </row>
    <row r="121" spans="1:7" x14ac:dyDescent="0.25">
      <c r="A121" s="42" t="s">
        <v>91</v>
      </c>
      <c r="B121" s="43"/>
      <c r="C121" s="38">
        <f ca="1">SUMIF($B2:B116,"Discover",$E2:E103)+SUMIF($B2:B116,"Discover",$G2:G116)-C120</f>
        <v>0</v>
      </c>
      <c r="D121" s="2"/>
      <c r="E121" s="2"/>
      <c r="F121" s="2"/>
      <c r="G121" s="9"/>
    </row>
    <row r="122" spans="1:7" x14ac:dyDescent="0.25">
      <c r="A122" s="45" t="s">
        <v>19</v>
      </c>
      <c r="B122" s="46"/>
      <c r="C122" s="38">
        <f ca="1">SUMIF($B2:B116,"Capitol One",$E2:E103)+SUMIF($B2:B116,"Capitol One",$G2:G116)-C118</f>
        <v>2008.2199999999998</v>
      </c>
      <c r="D122" s="2"/>
      <c r="E122" s="2"/>
      <c r="F122" s="2"/>
      <c r="G122" s="9"/>
    </row>
    <row r="123" spans="1:7" ht="15.75" thickBot="1" x14ac:dyDescent="0.3">
      <c r="A123" s="47" t="s">
        <v>20</v>
      </c>
      <c r="B123" s="48"/>
      <c r="C123" s="49">
        <f ca="1">SUMIF($B2:B116,"Sam's Club",$E2:E103)+SUMIF($B2:B116,"Sam's Club",$G2:G116)-C119</f>
        <v>579.33999999999992</v>
      </c>
      <c r="D123" s="10"/>
      <c r="E123" s="10"/>
      <c r="F123" s="10"/>
      <c r="G123" s="11"/>
    </row>
  </sheetData>
  <autoFilter ref="A1:G1" xr:uid="{55C6C991-3FFE-4866-967D-4139DF94C020}">
    <sortState xmlns:xlrd2="http://schemas.microsoft.com/office/spreadsheetml/2017/richdata2" ref="A2:G93">
      <sortCondition ref="B1"/>
    </sortState>
  </autoFilter>
  <dataConsolidate/>
  <mergeCells count="7">
    <mergeCell ref="A123:B123"/>
    <mergeCell ref="A117:B117"/>
    <mergeCell ref="A118:B118"/>
    <mergeCell ref="A119:B119"/>
    <mergeCell ref="A120:B120"/>
    <mergeCell ref="A121:B121"/>
    <mergeCell ref="A122:B122"/>
  </mergeCells>
  <dataValidations count="13">
    <dataValidation type="date" allowBlank="1" showInputMessage="1" showErrorMessage="1" sqref="A2:A21" xr:uid="{50F09C5B-B6F7-4BFD-8DDA-E820045C4333}">
      <formula1>A2</formula1>
      <formula2>A120</formula2>
    </dataValidation>
    <dataValidation type="date" allowBlank="1" showInputMessage="1" showErrorMessage="1" sqref="A47:A58" xr:uid="{1A63F3CC-0D8B-476C-B873-6953C0C9D466}">
      <formula1>A47</formula1>
      <formula2>A152</formula2>
    </dataValidation>
    <dataValidation type="date" allowBlank="1" showInputMessage="1" showErrorMessage="1" sqref="A29:A46" xr:uid="{85058B6B-6338-49CA-8AA7-1F2C166C8BD3}">
      <formula1>A29</formula1>
      <formula2>A142</formula2>
    </dataValidation>
    <dataValidation type="date" allowBlank="1" showInputMessage="1" showErrorMessage="1" sqref="A22:A24" xr:uid="{6CFE4555-B390-4034-B756-283AACAF8F39}">
      <formula1>A22</formula1>
      <formula2>A141</formula2>
    </dataValidation>
    <dataValidation type="date" allowBlank="1" showInputMessage="1" showErrorMessage="1" sqref="A25:A28" xr:uid="{5D1ED8A0-9322-47FA-91E0-CA4BC468B90D}">
      <formula1>A25</formula1>
      <formula2>A145</formula2>
    </dataValidation>
    <dataValidation type="date" allowBlank="1" showInputMessage="1" showErrorMessage="1" sqref="A116" xr:uid="{3B77DB93-DC37-4A68-993E-5FCB67C69ABB}">
      <formula1>A116</formula1>
      <formula2>A159</formula2>
    </dataValidation>
    <dataValidation type="date" allowBlank="1" showInputMessage="1" showErrorMessage="1" sqref="A93:A94 A105:A106" xr:uid="{01BF3710-DDAD-41D5-AE8E-A9D41D28264A}">
      <formula1>A93</formula1>
      <formula2>A147</formula2>
    </dataValidation>
    <dataValidation type="date" allowBlank="1" showInputMessage="1" showErrorMessage="1" sqref="A87:A92 A99:A104 A111:A115" xr:uid="{4A66203E-3633-47CD-84C5-832C564962BA}">
      <formula1>A87</formula1>
      <formula2>A147</formula2>
    </dataValidation>
    <dataValidation type="date" allowBlank="1" showInputMessage="1" showErrorMessage="1" sqref="A59:A82" xr:uid="{4DB0AD61-F58F-486C-9619-774035AB21D3}">
      <formula1>A59</formula1>
      <formula2>A143</formula2>
    </dataValidation>
    <dataValidation type="date" allowBlank="1" showInputMessage="1" showErrorMessage="1" sqref="A95:A98 A83:A86 A107:A110" xr:uid="{30CC4A01-05A0-4A52-8224-BF732C55C53F}">
      <formula1>A83</formula1>
      <formula2>A155</formula2>
    </dataValidation>
    <dataValidation type="list" allowBlank="1" showInputMessage="1" showErrorMessage="1" sqref="C2:C116" xr:uid="{4F45B011-D09C-434D-8115-FC1D9FEFF449}">
      <formula1>StoresDescription</formula1>
    </dataValidation>
    <dataValidation type="list" allowBlank="1" showInputMessage="1" showErrorMessage="1" sqref="D2:D116" xr:uid="{7952D978-5074-4ACB-AF5A-BDD1761BE9AE}">
      <formula1>ItemsDescription</formula1>
    </dataValidation>
    <dataValidation type="list" allowBlank="1" showInputMessage="1" showErrorMessage="1" sqref="B2:B116" xr:uid="{64F109BE-E391-4E1B-986D-A97141AEB5C3}">
      <formula1>CCUsed</formula1>
    </dataValidation>
  </dataValidations>
  <pageMargins left="0.7" right="0.7" top="0.75" bottom="0.75" header="0.3" footer="0.3"/>
  <pageSetup paperSize="3" scale="6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36A2-B56C-4BD6-977D-ACC57B711010}">
  <sheetPr codeName="Sheet9">
    <pageSetUpPr fitToPage="1"/>
  </sheetPr>
  <dimension ref="A1:J110"/>
  <sheetViews>
    <sheetView zoomScaleNormal="100" zoomScaleSheetLayoutView="62" workbookViewId="0">
      <pane ySplit="1" topLeftCell="A44" activePane="bottomLeft" state="frozen"/>
      <selection activeCell="C4" sqref="C4"/>
      <selection pane="bottomLeft" activeCell="K121" sqref="K121"/>
    </sheetView>
  </sheetViews>
  <sheetFormatPr defaultRowHeight="15" x14ac:dyDescent="0.25"/>
  <cols>
    <col min="1" max="1" width="9.7109375" bestFit="1" customWidth="1"/>
    <col min="2" max="2" width="13.5703125" bestFit="1" customWidth="1"/>
    <col min="3" max="3" width="16.5703125" bestFit="1" customWidth="1"/>
    <col min="4" max="4" width="18" customWidth="1"/>
    <col min="5" max="5" width="10.42578125" bestFit="1" customWidth="1"/>
    <col min="6" max="6" width="11" bestFit="1" customWidth="1"/>
    <col min="7" max="7" width="10" customWidth="1"/>
    <col min="8" max="8" width="8.5703125" customWidth="1"/>
    <col min="9" max="9" width="16.140625" bestFit="1" customWidth="1"/>
    <col min="10" max="10" width="9" bestFit="1" customWidth="1"/>
  </cols>
  <sheetData>
    <row r="1" spans="1:10" x14ac:dyDescent="0.25">
      <c r="A1" s="53" t="s">
        <v>0</v>
      </c>
      <c r="B1" s="54" t="s">
        <v>24</v>
      </c>
      <c r="C1" s="55" t="s">
        <v>1</v>
      </c>
      <c r="D1" s="55" t="s">
        <v>2</v>
      </c>
      <c r="E1" s="55" t="s">
        <v>25</v>
      </c>
      <c r="F1" s="55" t="s">
        <v>26</v>
      </c>
      <c r="G1" s="66" t="s">
        <v>30</v>
      </c>
    </row>
    <row r="2" spans="1:10" x14ac:dyDescent="0.25">
      <c r="A2" s="35">
        <v>45884</v>
      </c>
      <c r="B2" s="36" t="s">
        <v>23</v>
      </c>
      <c r="C2" s="37" t="s">
        <v>12</v>
      </c>
      <c r="D2" s="37" t="s">
        <v>3</v>
      </c>
      <c r="E2" s="50">
        <v>13.69</v>
      </c>
      <c r="F2" s="18"/>
      <c r="G2" s="19"/>
    </row>
    <row r="3" spans="1:10" x14ac:dyDescent="0.25">
      <c r="A3" s="35">
        <v>45885</v>
      </c>
      <c r="B3" s="36" t="s">
        <v>23</v>
      </c>
      <c r="C3" s="37" t="s">
        <v>12</v>
      </c>
      <c r="D3" s="37" t="s">
        <v>3</v>
      </c>
      <c r="E3" s="50">
        <v>2.65</v>
      </c>
      <c r="F3" s="18"/>
      <c r="G3" s="19"/>
    </row>
    <row r="4" spans="1:10" x14ac:dyDescent="0.25">
      <c r="A4" s="35">
        <v>45885</v>
      </c>
      <c r="B4" s="36" t="s">
        <v>23</v>
      </c>
      <c r="C4" s="37" t="s">
        <v>4</v>
      </c>
      <c r="D4" s="37" t="s">
        <v>4</v>
      </c>
      <c r="E4" s="50">
        <v>82.98</v>
      </c>
      <c r="F4" s="18"/>
      <c r="G4" s="19"/>
    </row>
    <row r="5" spans="1:10" x14ac:dyDescent="0.25">
      <c r="A5" s="35">
        <v>45885</v>
      </c>
      <c r="B5" s="36" t="s">
        <v>23</v>
      </c>
      <c r="C5" s="37" t="s">
        <v>4</v>
      </c>
      <c r="D5" s="37" t="s">
        <v>4</v>
      </c>
      <c r="E5" s="50">
        <v>152.16</v>
      </c>
      <c r="F5" s="18"/>
      <c r="G5" s="19"/>
      <c r="I5" s="39" t="s">
        <v>81</v>
      </c>
      <c r="J5" s="38">
        <f t="shared" ref="J5:J11" si="0">SUMIF($D$37:$D$103,I5,$E$37:$E$103)-SUMIF($D$37:$D$103,I5,$F$37:$F$103)</f>
        <v>230.70999999999998</v>
      </c>
    </row>
    <row r="6" spans="1:10" x14ac:dyDescent="0.25">
      <c r="A6" s="35">
        <v>45885</v>
      </c>
      <c r="B6" s="36" t="s">
        <v>23</v>
      </c>
      <c r="C6" s="37" t="s">
        <v>35</v>
      </c>
      <c r="D6" s="37" t="s">
        <v>81</v>
      </c>
      <c r="E6" s="50">
        <v>11</v>
      </c>
      <c r="F6" s="18"/>
      <c r="G6" s="19"/>
      <c r="I6" s="39" t="s">
        <v>5</v>
      </c>
      <c r="J6" s="38">
        <f t="shared" si="0"/>
        <v>58.879999999999967</v>
      </c>
    </row>
    <row r="7" spans="1:10" x14ac:dyDescent="0.25">
      <c r="A7" s="35">
        <v>45887</v>
      </c>
      <c r="B7" s="36" t="s">
        <v>23</v>
      </c>
      <c r="C7" s="37" t="s">
        <v>12</v>
      </c>
      <c r="D7" s="37" t="s">
        <v>3</v>
      </c>
      <c r="E7" s="50">
        <v>56.27</v>
      </c>
      <c r="F7" s="50">
        <v>18.86</v>
      </c>
      <c r="G7" s="19"/>
      <c r="I7" s="39" t="s">
        <v>6</v>
      </c>
      <c r="J7" s="38">
        <f t="shared" si="0"/>
        <v>343.62999999999994</v>
      </c>
    </row>
    <row r="8" spans="1:10" x14ac:dyDescent="0.25">
      <c r="A8" s="35">
        <v>45887</v>
      </c>
      <c r="B8" s="36" t="s">
        <v>23</v>
      </c>
      <c r="C8" s="37" t="s">
        <v>12</v>
      </c>
      <c r="D8" s="37" t="s">
        <v>3</v>
      </c>
      <c r="E8" s="50">
        <v>74.42</v>
      </c>
      <c r="F8" s="50">
        <v>9.92</v>
      </c>
      <c r="G8" s="19"/>
      <c r="I8" s="39" t="s">
        <v>15</v>
      </c>
      <c r="J8" s="38">
        <f t="shared" si="0"/>
        <v>265.57</v>
      </c>
    </row>
    <row r="9" spans="1:10" x14ac:dyDescent="0.25">
      <c r="A9" s="35">
        <v>45887</v>
      </c>
      <c r="B9" s="36" t="s">
        <v>23</v>
      </c>
      <c r="C9" s="37" t="s">
        <v>40</v>
      </c>
      <c r="D9" s="37" t="s">
        <v>4</v>
      </c>
      <c r="E9" s="50">
        <v>2.34</v>
      </c>
      <c r="F9" s="18"/>
      <c r="G9" s="19"/>
      <c r="I9" s="39" t="s">
        <v>3</v>
      </c>
      <c r="J9" s="38">
        <f t="shared" si="0"/>
        <v>530.5100000000001</v>
      </c>
    </row>
    <row r="10" spans="1:10" x14ac:dyDescent="0.25">
      <c r="A10" s="35">
        <v>45887</v>
      </c>
      <c r="B10" s="36" t="s">
        <v>23</v>
      </c>
      <c r="C10" s="37" t="s">
        <v>12</v>
      </c>
      <c r="D10" s="37" t="s">
        <v>3</v>
      </c>
      <c r="E10" s="50">
        <v>43.54</v>
      </c>
      <c r="F10" s="18"/>
      <c r="G10" s="19"/>
      <c r="I10" s="39" t="s">
        <v>4</v>
      </c>
      <c r="J10" s="38">
        <f t="shared" si="0"/>
        <v>138.20000000000002</v>
      </c>
    </row>
    <row r="11" spans="1:10" x14ac:dyDescent="0.25">
      <c r="A11" s="35">
        <v>45888</v>
      </c>
      <c r="B11" s="36" t="s">
        <v>23</v>
      </c>
      <c r="C11" s="37" t="s">
        <v>12</v>
      </c>
      <c r="D11" s="37" t="s">
        <v>3</v>
      </c>
      <c r="E11" s="50">
        <v>6.2</v>
      </c>
      <c r="F11" s="18"/>
      <c r="G11" s="19"/>
      <c r="I11" s="39" t="s">
        <v>84</v>
      </c>
      <c r="J11" s="38">
        <f t="shared" si="0"/>
        <v>160</v>
      </c>
    </row>
    <row r="12" spans="1:10" x14ac:dyDescent="0.25">
      <c r="A12" s="35">
        <v>45888</v>
      </c>
      <c r="B12" s="36" t="s">
        <v>23</v>
      </c>
      <c r="C12" s="37" t="s">
        <v>62</v>
      </c>
      <c r="D12" s="37" t="s">
        <v>84</v>
      </c>
      <c r="E12" s="50">
        <v>30.94</v>
      </c>
      <c r="F12" s="18"/>
      <c r="G12" s="19"/>
      <c r="I12" s="39" t="s">
        <v>30</v>
      </c>
      <c r="J12" s="38">
        <f>SUMIF($D$37:$D$103,I12,$G$37:$G$103)-SUMIF($D$37:$D$103,I12,$F$37:$F$103)</f>
        <v>0</v>
      </c>
    </row>
    <row r="13" spans="1:10" x14ac:dyDescent="0.25">
      <c r="A13" s="35">
        <v>45889</v>
      </c>
      <c r="B13" s="36" t="s">
        <v>23</v>
      </c>
      <c r="C13" s="37" t="s">
        <v>12</v>
      </c>
      <c r="D13" s="37" t="s">
        <v>81</v>
      </c>
      <c r="E13" s="50">
        <v>78.64</v>
      </c>
      <c r="F13" s="50">
        <v>78.64</v>
      </c>
      <c r="G13" s="19"/>
    </row>
    <row r="14" spans="1:10" x14ac:dyDescent="0.25">
      <c r="A14" s="35">
        <v>45889</v>
      </c>
      <c r="B14" s="36" t="s">
        <v>23</v>
      </c>
      <c r="C14" s="37" t="s">
        <v>12</v>
      </c>
      <c r="D14" s="37" t="s">
        <v>3</v>
      </c>
      <c r="E14" s="50">
        <v>4.22</v>
      </c>
      <c r="F14" s="18"/>
      <c r="G14" s="19"/>
    </row>
    <row r="15" spans="1:10" x14ac:dyDescent="0.25">
      <c r="A15" s="35">
        <v>45890</v>
      </c>
      <c r="B15" s="36" t="s">
        <v>23</v>
      </c>
      <c r="C15" s="37" t="s">
        <v>31</v>
      </c>
      <c r="D15" s="37" t="s">
        <v>30</v>
      </c>
      <c r="E15" s="50">
        <f>22.87-5.5</f>
        <v>17.37</v>
      </c>
      <c r="F15" s="18"/>
      <c r="G15" s="65">
        <v>5.5</v>
      </c>
    </row>
    <row r="16" spans="1:10" x14ac:dyDescent="0.25">
      <c r="A16" s="35">
        <v>45890</v>
      </c>
      <c r="B16" s="36" t="s">
        <v>23</v>
      </c>
      <c r="C16" s="37" t="s">
        <v>12</v>
      </c>
      <c r="D16" s="37" t="s">
        <v>3</v>
      </c>
      <c r="E16" s="50">
        <v>2.88</v>
      </c>
      <c r="F16" s="18"/>
      <c r="G16" s="19"/>
    </row>
    <row r="17" spans="1:7" x14ac:dyDescent="0.25">
      <c r="A17" s="35">
        <v>45890</v>
      </c>
      <c r="B17" s="36" t="s">
        <v>23</v>
      </c>
      <c r="C17" s="37" t="s">
        <v>12</v>
      </c>
      <c r="D17" s="37" t="s">
        <v>3</v>
      </c>
      <c r="E17" s="50">
        <v>9.6300000000000008</v>
      </c>
      <c r="F17" s="18"/>
      <c r="G17" s="19"/>
    </row>
    <row r="18" spans="1:7" x14ac:dyDescent="0.25">
      <c r="A18" s="35">
        <v>45891</v>
      </c>
      <c r="B18" s="36" t="s">
        <v>23</v>
      </c>
      <c r="C18" s="37" t="s">
        <v>12</v>
      </c>
      <c r="D18" s="37" t="s">
        <v>3</v>
      </c>
      <c r="E18" s="50">
        <v>18.59</v>
      </c>
      <c r="F18" s="50">
        <v>9.56</v>
      </c>
      <c r="G18" s="19"/>
    </row>
    <row r="19" spans="1:7" x14ac:dyDescent="0.25">
      <c r="A19" s="35">
        <v>45891</v>
      </c>
      <c r="B19" s="36" t="s">
        <v>23</v>
      </c>
      <c r="C19" s="37" t="s">
        <v>14</v>
      </c>
      <c r="D19" s="37" t="s">
        <v>5</v>
      </c>
      <c r="E19" s="18"/>
      <c r="F19" s="50">
        <v>99.44</v>
      </c>
      <c r="G19" s="19"/>
    </row>
    <row r="20" spans="1:7" x14ac:dyDescent="0.25">
      <c r="A20" s="35">
        <v>45892</v>
      </c>
      <c r="B20" s="36" t="s">
        <v>23</v>
      </c>
      <c r="C20" s="37" t="s">
        <v>12</v>
      </c>
      <c r="D20" s="37" t="s">
        <v>3</v>
      </c>
      <c r="E20" s="50">
        <v>3.26</v>
      </c>
      <c r="F20" s="18"/>
      <c r="G20" s="19"/>
    </row>
    <row r="21" spans="1:7" x14ac:dyDescent="0.25">
      <c r="A21" s="35">
        <v>45892</v>
      </c>
      <c r="B21" s="36" t="s">
        <v>23</v>
      </c>
      <c r="C21" s="37" t="s">
        <v>14</v>
      </c>
      <c r="D21" s="37" t="s">
        <v>5</v>
      </c>
      <c r="E21" s="50">
        <v>27</v>
      </c>
      <c r="F21" s="18"/>
      <c r="G21" s="19"/>
    </row>
    <row r="22" spans="1:7" x14ac:dyDescent="0.25">
      <c r="A22" s="35">
        <v>45892</v>
      </c>
      <c r="B22" s="36" t="s">
        <v>23</v>
      </c>
      <c r="C22" s="37" t="s">
        <v>34</v>
      </c>
      <c r="D22" s="37" t="s">
        <v>81</v>
      </c>
      <c r="E22" s="50">
        <v>25</v>
      </c>
      <c r="F22" s="18"/>
      <c r="G22" s="19"/>
    </row>
    <row r="23" spans="1:7" x14ac:dyDescent="0.25">
      <c r="A23" s="35">
        <v>45892</v>
      </c>
      <c r="B23" s="36" t="s">
        <v>23</v>
      </c>
      <c r="C23" s="37" t="s">
        <v>62</v>
      </c>
      <c r="D23" s="37" t="s">
        <v>84</v>
      </c>
      <c r="E23" s="50">
        <v>160</v>
      </c>
      <c r="F23" s="18"/>
      <c r="G23" s="19"/>
    </row>
    <row r="24" spans="1:7" x14ac:dyDescent="0.25">
      <c r="A24" s="35">
        <v>45894</v>
      </c>
      <c r="B24" s="36" t="s">
        <v>23</v>
      </c>
      <c r="C24" s="37" t="s">
        <v>12</v>
      </c>
      <c r="D24" s="37" t="s">
        <v>3</v>
      </c>
      <c r="E24" s="50">
        <v>5.64</v>
      </c>
      <c r="F24" s="18"/>
      <c r="G24" s="19"/>
    </row>
    <row r="25" spans="1:7" x14ac:dyDescent="0.25">
      <c r="A25" s="35">
        <v>45894</v>
      </c>
      <c r="B25" s="36" t="s">
        <v>23</v>
      </c>
      <c r="C25" s="37" t="s">
        <v>12</v>
      </c>
      <c r="D25" s="37" t="s">
        <v>3</v>
      </c>
      <c r="E25" s="50">
        <v>4.17</v>
      </c>
      <c r="F25" s="18"/>
      <c r="G25" s="19"/>
    </row>
    <row r="26" spans="1:7" x14ac:dyDescent="0.25">
      <c r="A26" s="35">
        <v>45894</v>
      </c>
      <c r="B26" s="36" t="s">
        <v>23</v>
      </c>
      <c r="C26" s="37" t="s">
        <v>89</v>
      </c>
      <c r="D26" s="37" t="s">
        <v>3</v>
      </c>
      <c r="E26" s="50">
        <v>12</v>
      </c>
      <c r="F26" s="18"/>
      <c r="G26" s="19"/>
    </row>
    <row r="27" spans="1:7" x14ac:dyDescent="0.25">
      <c r="A27" s="35">
        <v>45894</v>
      </c>
      <c r="B27" s="36" t="s">
        <v>23</v>
      </c>
      <c r="C27" s="37" t="s">
        <v>12</v>
      </c>
      <c r="D27" s="37" t="s">
        <v>3</v>
      </c>
      <c r="E27" s="50">
        <v>1.64</v>
      </c>
      <c r="F27" s="18"/>
      <c r="G27" s="19"/>
    </row>
    <row r="28" spans="1:7" x14ac:dyDescent="0.25">
      <c r="A28" s="35">
        <v>45895</v>
      </c>
      <c r="B28" s="36" t="s">
        <v>23</v>
      </c>
      <c r="C28" s="37" t="s">
        <v>12</v>
      </c>
      <c r="D28" s="37" t="s">
        <v>3</v>
      </c>
      <c r="E28" s="50">
        <v>7.01</v>
      </c>
      <c r="F28" s="18"/>
      <c r="G28" s="19"/>
    </row>
    <row r="29" spans="1:7" x14ac:dyDescent="0.25">
      <c r="A29" s="35">
        <v>45896</v>
      </c>
      <c r="B29" s="36" t="s">
        <v>23</v>
      </c>
      <c r="C29" s="37" t="s">
        <v>14</v>
      </c>
      <c r="D29" s="37" t="s">
        <v>5</v>
      </c>
      <c r="E29" s="50">
        <v>190</v>
      </c>
      <c r="F29" s="18"/>
      <c r="G29" s="19"/>
    </row>
    <row r="30" spans="1:7" x14ac:dyDescent="0.25">
      <c r="A30" s="35">
        <v>45896</v>
      </c>
      <c r="B30" s="36" t="s">
        <v>23</v>
      </c>
      <c r="C30" s="37" t="s">
        <v>7</v>
      </c>
      <c r="D30" s="37" t="s">
        <v>81</v>
      </c>
      <c r="E30" s="50">
        <v>9.3699999999999992</v>
      </c>
      <c r="F30" s="18"/>
      <c r="G30" s="19"/>
    </row>
    <row r="31" spans="1:7" x14ac:dyDescent="0.25">
      <c r="A31" s="35">
        <v>45896</v>
      </c>
      <c r="B31" s="36" t="s">
        <v>23</v>
      </c>
      <c r="C31" s="37" t="s">
        <v>14</v>
      </c>
      <c r="D31" s="37" t="s">
        <v>5</v>
      </c>
      <c r="E31" s="50">
        <v>16.579999999999998</v>
      </c>
      <c r="F31" s="18"/>
      <c r="G31" s="19"/>
    </row>
    <row r="32" spans="1:7" x14ac:dyDescent="0.25">
      <c r="A32" s="35">
        <v>45898</v>
      </c>
      <c r="B32" s="36" t="s">
        <v>23</v>
      </c>
      <c r="C32" s="37" t="s">
        <v>12</v>
      </c>
      <c r="D32" s="37" t="s">
        <v>3</v>
      </c>
      <c r="E32" s="50">
        <v>58.22</v>
      </c>
      <c r="F32" s="50">
        <v>33.11</v>
      </c>
      <c r="G32" s="19"/>
    </row>
    <row r="33" spans="1:7" x14ac:dyDescent="0.25">
      <c r="A33" s="35">
        <v>45898</v>
      </c>
      <c r="B33" s="36" t="s">
        <v>23</v>
      </c>
      <c r="C33" s="37" t="s">
        <v>7</v>
      </c>
      <c r="D33" s="37" t="s">
        <v>81</v>
      </c>
      <c r="E33" s="50">
        <v>60.98</v>
      </c>
      <c r="F33" s="50">
        <v>30.93</v>
      </c>
      <c r="G33" s="19"/>
    </row>
    <row r="34" spans="1:7" x14ac:dyDescent="0.25">
      <c r="A34" s="35">
        <v>45898</v>
      </c>
      <c r="B34" s="36" t="s">
        <v>23</v>
      </c>
      <c r="C34" s="37" t="s">
        <v>12</v>
      </c>
      <c r="D34" s="37" t="s">
        <v>3</v>
      </c>
      <c r="E34" s="50">
        <v>62.2</v>
      </c>
      <c r="F34" s="18"/>
      <c r="G34" s="19"/>
    </row>
    <row r="35" spans="1:7" x14ac:dyDescent="0.25">
      <c r="A35" s="35">
        <v>45899</v>
      </c>
      <c r="B35" s="36" t="s">
        <v>23</v>
      </c>
      <c r="C35" s="37" t="s">
        <v>12</v>
      </c>
      <c r="D35" s="37" t="s">
        <v>3</v>
      </c>
      <c r="E35" s="50">
        <v>6.65</v>
      </c>
      <c r="F35" s="18"/>
      <c r="G35" s="19"/>
    </row>
    <row r="36" spans="1:7" x14ac:dyDescent="0.25">
      <c r="A36" s="35">
        <v>45901</v>
      </c>
      <c r="B36" s="36" t="s">
        <v>23</v>
      </c>
      <c r="C36" s="37" t="s">
        <v>12</v>
      </c>
      <c r="D36" s="37" t="s">
        <v>3</v>
      </c>
      <c r="E36" s="50">
        <v>8.77</v>
      </c>
      <c r="F36" s="18"/>
      <c r="G36" s="19"/>
    </row>
    <row r="37" spans="1:7" x14ac:dyDescent="0.25">
      <c r="A37" s="35">
        <v>45901</v>
      </c>
      <c r="B37" s="36" t="s">
        <v>23</v>
      </c>
      <c r="C37" s="37" t="s">
        <v>4</v>
      </c>
      <c r="D37" s="37" t="s">
        <v>4</v>
      </c>
      <c r="E37" s="50">
        <v>10.78</v>
      </c>
      <c r="F37" s="18"/>
      <c r="G37" s="30"/>
    </row>
    <row r="38" spans="1:7" x14ac:dyDescent="0.25">
      <c r="A38" s="35">
        <v>45901</v>
      </c>
      <c r="B38" s="36" t="s">
        <v>23</v>
      </c>
      <c r="C38" s="37" t="s">
        <v>4</v>
      </c>
      <c r="D38" s="37" t="s">
        <v>4</v>
      </c>
      <c r="E38" s="50">
        <v>71.650000000000006</v>
      </c>
      <c r="F38" s="18"/>
      <c r="G38" s="19"/>
    </row>
    <row r="39" spans="1:7" x14ac:dyDescent="0.25">
      <c r="A39" s="35">
        <v>45901</v>
      </c>
      <c r="B39" s="36" t="s">
        <v>23</v>
      </c>
      <c r="C39" s="37" t="s">
        <v>94</v>
      </c>
      <c r="D39" s="37" t="s">
        <v>81</v>
      </c>
      <c r="E39" s="50">
        <v>127.36</v>
      </c>
      <c r="F39" s="18"/>
      <c r="G39" s="19"/>
    </row>
    <row r="40" spans="1:7" x14ac:dyDescent="0.25">
      <c r="A40" s="35">
        <v>45901</v>
      </c>
      <c r="B40" s="36" t="s">
        <v>23</v>
      </c>
      <c r="C40" s="37" t="s">
        <v>66</v>
      </c>
      <c r="D40" s="37" t="s">
        <v>6</v>
      </c>
      <c r="E40" s="50">
        <v>48.71</v>
      </c>
      <c r="F40" s="18"/>
      <c r="G40" s="19"/>
    </row>
    <row r="41" spans="1:7" x14ac:dyDescent="0.25">
      <c r="A41" s="35">
        <v>45902</v>
      </c>
      <c r="B41" s="36" t="s">
        <v>23</v>
      </c>
      <c r="C41" s="37" t="s">
        <v>66</v>
      </c>
      <c r="D41" s="37" t="s">
        <v>6</v>
      </c>
      <c r="E41" s="50">
        <v>91.1</v>
      </c>
      <c r="F41" s="18"/>
      <c r="G41" s="19"/>
    </row>
    <row r="42" spans="1:7" x14ac:dyDescent="0.25">
      <c r="A42" s="35">
        <v>45902</v>
      </c>
      <c r="B42" s="36" t="s">
        <v>23</v>
      </c>
      <c r="C42" s="37" t="s">
        <v>38</v>
      </c>
      <c r="D42" s="37" t="s">
        <v>3</v>
      </c>
      <c r="E42" s="50">
        <v>170.41</v>
      </c>
      <c r="F42" s="18"/>
      <c r="G42" s="19"/>
    </row>
    <row r="43" spans="1:7" x14ac:dyDescent="0.25">
      <c r="A43" s="35">
        <v>45902</v>
      </c>
      <c r="B43" s="36" t="s">
        <v>23</v>
      </c>
      <c r="C43" s="37" t="s">
        <v>12</v>
      </c>
      <c r="D43" s="37" t="s">
        <v>3</v>
      </c>
      <c r="E43" s="50">
        <v>4</v>
      </c>
      <c r="F43" s="18"/>
      <c r="G43" s="19"/>
    </row>
    <row r="44" spans="1:7" x14ac:dyDescent="0.25">
      <c r="A44" s="35">
        <v>45902</v>
      </c>
      <c r="B44" s="36" t="s">
        <v>23</v>
      </c>
      <c r="C44" s="37" t="s">
        <v>38</v>
      </c>
      <c r="D44" s="37" t="s">
        <v>30</v>
      </c>
      <c r="E44" s="50">
        <v>61.33</v>
      </c>
      <c r="F44" s="18"/>
      <c r="G44" s="19"/>
    </row>
    <row r="45" spans="1:7" x14ac:dyDescent="0.25">
      <c r="A45" s="35">
        <v>45902</v>
      </c>
      <c r="B45" s="36" t="s">
        <v>23</v>
      </c>
      <c r="C45" s="37" t="s">
        <v>38</v>
      </c>
      <c r="D45" s="37" t="s">
        <v>3</v>
      </c>
      <c r="E45" s="50">
        <v>56.44</v>
      </c>
      <c r="F45" s="18"/>
      <c r="G45" s="19"/>
    </row>
    <row r="46" spans="1:7" x14ac:dyDescent="0.25">
      <c r="A46" s="35">
        <v>45903</v>
      </c>
      <c r="B46" s="36" t="s">
        <v>23</v>
      </c>
      <c r="C46" s="37" t="s">
        <v>7</v>
      </c>
      <c r="D46" s="37" t="s">
        <v>81</v>
      </c>
      <c r="E46" s="18"/>
      <c r="F46" s="50">
        <v>16.5</v>
      </c>
      <c r="G46" s="19"/>
    </row>
    <row r="47" spans="1:7" x14ac:dyDescent="0.25">
      <c r="A47" s="35">
        <v>45904</v>
      </c>
      <c r="B47" s="36" t="s">
        <v>23</v>
      </c>
      <c r="C47" s="37" t="s">
        <v>66</v>
      </c>
      <c r="D47" s="37" t="s">
        <v>6</v>
      </c>
      <c r="E47" s="50">
        <v>1.31</v>
      </c>
      <c r="F47" s="18"/>
      <c r="G47" s="19"/>
    </row>
    <row r="48" spans="1:7" x14ac:dyDescent="0.25">
      <c r="A48" s="35">
        <v>45904</v>
      </c>
      <c r="B48" s="36" t="s">
        <v>23</v>
      </c>
      <c r="C48" s="37" t="s">
        <v>12</v>
      </c>
      <c r="D48" s="37" t="s">
        <v>3</v>
      </c>
      <c r="E48" s="50">
        <v>18.12</v>
      </c>
      <c r="F48" s="18"/>
      <c r="G48" s="19"/>
    </row>
    <row r="49" spans="1:7" x14ac:dyDescent="0.25">
      <c r="A49" s="35">
        <v>45904</v>
      </c>
      <c r="B49" s="36" t="s">
        <v>23</v>
      </c>
      <c r="C49" s="37" t="s">
        <v>12</v>
      </c>
      <c r="D49" s="37" t="s">
        <v>3</v>
      </c>
      <c r="E49" s="50">
        <v>5.07</v>
      </c>
      <c r="F49" s="18"/>
      <c r="G49" s="19"/>
    </row>
    <row r="50" spans="1:7" x14ac:dyDescent="0.25">
      <c r="A50" s="35">
        <v>45906</v>
      </c>
      <c r="B50" s="36" t="s">
        <v>23</v>
      </c>
      <c r="C50" s="37" t="s">
        <v>12</v>
      </c>
      <c r="D50" s="37" t="s">
        <v>3</v>
      </c>
      <c r="E50" s="50">
        <v>16.98</v>
      </c>
      <c r="F50" s="18"/>
      <c r="G50" s="19"/>
    </row>
    <row r="51" spans="1:7" x14ac:dyDescent="0.25">
      <c r="A51" s="35">
        <v>45906</v>
      </c>
      <c r="B51" s="36" t="s">
        <v>23</v>
      </c>
      <c r="C51" s="37" t="s">
        <v>62</v>
      </c>
      <c r="D51" s="37" t="s">
        <v>84</v>
      </c>
      <c r="E51" s="50">
        <v>160</v>
      </c>
      <c r="F51" s="18"/>
      <c r="G51" s="19"/>
    </row>
    <row r="52" spans="1:7" x14ac:dyDescent="0.25">
      <c r="A52" s="35">
        <v>45908</v>
      </c>
      <c r="B52" s="36" t="s">
        <v>23</v>
      </c>
      <c r="C52" s="37" t="s">
        <v>14</v>
      </c>
      <c r="D52" s="37" t="s">
        <v>5</v>
      </c>
      <c r="E52" s="50">
        <v>4.45</v>
      </c>
      <c r="F52" s="18"/>
      <c r="G52" s="19"/>
    </row>
    <row r="53" spans="1:7" x14ac:dyDescent="0.25">
      <c r="A53" s="35">
        <v>45908</v>
      </c>
      <c r="B53" s="36" t="s">
        <v>23</v>
      </c>
      <c r="C53" s="37" t="s">
        <v>40</v>
      </c>
      <c r="D53" s="37" t="s">
        <v>4</v>
      </c>
      <c r="E53" s="50">
        <v>28.5</v>
      </c>
      <c r="F53" s="18"/>
      <c r="G53" s="19"/>
    </row>
    <row r="54" spans="1:7" x14ac:dyDescent="0.25">
      <c r="A54" s="35">
        <v>45909</v>
      </c>
      <c r="B54" s="36" t="s">
        <v>23</v>
      </c>
      <c r="C54" s="37" t="s">
        <v>12</v>
      </c>
      <c r="D54" s="37" t="s">
        <v>3</v>
      </c>
      <c r="E54" s="50">
        <v>74.7</v>
      </c>
      <c r="F54" s="18"/>
      <c r="G54" s="19"/>
    </row>
    <row r="55" spans="1:7" x14ac:dyDescent="0.25">
      <c r="A55" s="35">
        <v>45909</v>
      </c>
      <c r="B55" s="36" t="s">
        <v>23</v>
      </c>
      <c r="C55" s="37" t="s">
        <v>7</v>
      </c>
      <c r="D55" s="37" t="s">
        <v>81</v>
      </c>
      <c r="E55" s="50">
        <v>59.95</v>
      </c>
      <c r="F55" s="50">
        <v>16.5</v>
      </c>
      <c r="G55" s="19"/>
    </row>
    <row r="56" spans="1:7" x14ac:dyDescent="0.25">
      <c r="A56" s="35">
        <v>45909</v>
      </c>
      <c r="B56" s="36" t="s">
        <v>23</v>
      </c>
      <c r="C56" s="37" t="s">
        <v>14</v>
      </c>
      <c r="D56" s="37" t="s">
        <v>5</v>
      </c>
      <c r="E56" s="50">
        <v>131.84</v>
      </c>
      <c r="F56" s="50">
        <v>131.84</v>
      </c>
      <c r="G56" s="19"/>
    </row>
    <row r="57" spans="1:7" x14ac:dyDescent="0.25">
      <c r="A57" s="35">
        <v>45910</v>
      </c>
      <c r="B57" s="36" t="s">
        <v>23</v>
      </c>
      <c r="C57" s="37" t="s">
        <v>12</v>
      </c>
      <c r="D57" s="37" t="s">
        <v>3</v>
      </c>
      <c r="E57" s="50">
        <v>3.12</v>
      </c>
      <c r="F57" s="18"/>
      <c r="G57" s="19"/>
    </row>
    <row r="58" spans="1:7" x14ac:dyDescent="0.25">
      <c r="A58" s="35">
        <v>45910</v>
      </c>
      <c r="B58" s="36" t="s">
        <v>23</v>
      </c>
      <c r="C58" s="37" t="s">
        <v>12</v>
      </c>
      <c r="D58" s="37" t="s">
        <v>3</v>
      </c>
      <c r="E58" s="50">
        <v>14.19</v>
      </c>
      <c r="F58" s="50">
        <v>4.9400000000000004</v>
      </c>
      <c r="G58" s="19"/>
    </row>
    <row r="59" spans="1:7" x14ac:dyDescent="0.25">
      <c r="A59" s="35">
        <v>45911</v>
      </c>
      <c r="B59" s="36" t="s">
        <v>23</v>
      </c>
      <c r="C59" s="37" t="s">
        <v>12</v>
      </c>
      <c r="D59" s="37" t="s">
        <v>3</v>
      </c>
      <c r="E59" s="50">
        <v>23.61</v>
      </c>
      <c r="F59" s="18"/>
      <c r="G59" s="19"/>
    </row>
    <row r="60" spans="1:7" x14ac:dyDescent="0.25">
      <c r="A60" s="35">
        <v>45911</v>
      </c>
      <c r="B60" s="36" t="s">
        <v>23</v>
      </c>
      <c r="C60" s="37" t="s">
        <v>14</v>
      </c>
      <c r="D60" s="37" t="s">
        <v>5</v>
      </c>
      <c r="E60" s="50">
        <v>18.670000000000002</v>
      </c>
      <c r="F60" s="18"/>
      <c r="G60" s="19"/>
    </row>
    <row r="61" spans="1:7" x14ac:dyDescent="0.25">
      <c r="A61" s="35">
        <v>45912</v>
      </c>
      <c r="B61" s="36" t="s">
        <v>23</v>
      </c>
      <c r="C61" s="37" t="s">
        <v>12</v>
      </c>
      <c r="D61" s="37" t="s">
        <v>81</v>
      </c>
      <c r="E61" s="50">
        <v>15</v>
      </c>
      <c r="F61" s="18"/>
      <c r="G61" s="19"/>
    </row>
    <row r="62" spans="1:7" x14ac:dyDescent="0.25">
      <c r="A62" s="35">
        <v>45912</v>
      </c>
      <c r="B62" s="41" t="s">
        <v>23</v>
      </c>
      <c r="C62" s="37" t="s">
        <v>12</v>
      </c>
      <c r="D62" s="37" t="s">
        <v>3</v>
      </c>
      <c r="E62" s="50">
        <v>1.37</v>
      </c>
      <c r="F62" s="18"/>
      <c r="G62" s="19"/>
    </row>
    <row r="63" spans="1:7" x14ac:dyDescent="0.25">
      <c r="A63" s="35">
        <v>45912</v>
      </c>
      <c r="B63" s="36" t="s">
        <v>23</v>
      </c>
      <c r="C63" s="37" t="s">
        <v>31</v>
      </c>
      <c r="D63" s="37" t="s">
        <v>3</v>
      </c>
      <c r="E63" s="50">
        <v>11.97</v>
      </c>
      <c r="F63" s="18"/>
      <c r="G63" s="19"/>
    </row>
    <row r="64" spans="1:7" x14ac:dyDescent="0.25">
      <c r="A64" s="35">
        <v>45913</v>
      </c>
      <c r="B64" s="41" t="s">
        <v>23</v>
      </c>
      <c r="C64" s="37" t="s">
        <v>12</v>
      </c>
      <c r="D64" s="37" t="s">
        <v>3</v>
      </c>
      <c r="E64" s="50">
        <v>11.3</v>
      </c>
      <c r="F64" s="18"/>
      <c r="G64" s="19"/>
    </row>
    <row r="65" spans="1:7" x14ac:dyDescent="0.25">
      <c r="A65" s="35">
        <v>45913</v>
      </c>
      <c r="B65" s="36" t="s">
        <v>23</v>
      </c>
      <c r="C65" s="37" t="s">
        <v>7</v>
      </c>
      <c r="D65" s="37" t="s">
        <v>81</v>
      </c>
      <c r="E65" s="50">
        <v>39.770000000000003</v>
      </c>
      <c r="F65" s="18"/>
      <c r="G65" s="19"/>
    </row>
    <row r="66" spans="1:7" x14ac:dyDescent="0.25">
      <c r="A66" s="35">
        <v>45913</v>
      </c>
      <c r="B66" s="36" t="s">
        <v>23</v>
      </c>
      <c r="C66" s="37" t="s">
        <v>40</v>
      </c>
      <c r="D66" s="37" t="s">
        <v>4</v>
      </c>
      <c r="E66" s="50">
        <v>13.48</v>
      </c>
      <c r="F66" s="18"/>
      <c r="G66" s="19"/>
    </row>
    <row r="67" spans="1:7" x14ac:dyDescent="0.25">
      <c r="A67" s="35">
        <v>45913</v>
      </c>
      <c r="B67" s="36" t="s">
        <v>23</v>
      </c>
      <c r="C67" s="37" t="s">
        <v>40</v>
      </c>
      <c r="D67" s="37" t="s">
        <v>4</v>
      </c>
      <c r="E67" s="50">
        <v>13.79</v>
      </c>
      <c r="F67" s="18"/>
      <c r="G67" s="19"/>
    </row>
    <row r="68" spans="1:7" x14ac:dyDescent="0.25">
      <c r="A68" s="35">
        <v>45883</v>
      </c>
      <c r="B68" s="36" t="s">
        <v>16</v>
      </c>
      <c r="C68" s="37" t="s">
        <v>16</v>
      </c>
      <c r="D68" s="37" t="s">
        <v>6</v>
      </c>
      <c r="E68" s="50">
        <v>2.04</v>
      </c>
      <c r="F68" s="18"/>
      <c r="G68" s="19"/>
    </row>
    <row r="69" spans="1:7" x14ac:dyDescent="0.25">
      <c r="A69" s="35">
        <v>45883</v>
      </c>
      <c r="B69" s="36" t="s">
        <v>16</v>
      </c>
      <c r="C69" s="37" t="s">
        <v>16</v>
      </c>
      <c r="D69" s="37" t="s">
        <v>81</v>
      </c>
      <c r="E69" s="50">
        <v>88.31</v>
      </c>
      <c r="F69" s="50">
        <v>88.31</v>
      </c>
      <c r="G69" s="19"/>
    </row>
    <row r="70" spans="1:7" x14ac:dyDescent="0.25">
      <c r="A70" s="35">
        <v>45883</v>
      </c>
      <c r="B70" s="36" t="s">
        <v>16</v>
      </c>
      <c r="C70" s="37" t="s">
        <v>16</v>
      </c>
      <c r="D70" s="37" t="s">
        <v>3</v>
      </c>
      <c r="E70" s="50">
        <v>37.79</v>
      </c>
      <c r="F70" s="50">
        <v>33.08</v>
      </c>
      <c r="G70" s="19"/>
    </row>
    <row r="71" spans="1:7" x14ac:dyDescent="0.25">
      <c r="A71" s="35">
        <v>45884</v>
      </c>
      <c r="B71" s="36" t="s">
        <v>16</v>
      </c>
      <c r="C71" s="37" t="s">
        <v>66</v>
      </c>
      <c r="D71" s="37" t="s">
        <v>6</v>
      </c>
      <c r="E71" s="50">
        <v>5.64</v>
      </c>
      <c r="F71" s="18"/>
      <c r="G71" s="19"/>
    </row>
    <row r="72" spans="1:7" x14ac:dyDescent="0.25">
      <c r="A72" s="35">
        <v>45884</v>
      </c>
      <c r="B72" s="36" t="s">
        <v>16</v>
      </c>
      <c r="C72" s="37" t="s">
        <v>66</v>
      </c>
      <c r="D72" s="37" t="s">
        <v>6</v>
      </c>
      <c r="E72" s="50">
        <v>3.53</v>
      </c>
      <c r="F72" s="18"/>
      <c r="G72" s="19"/>
    </row>
    <row r="73" spans="1:7" x14ac:dyDescent="0.25">
      <c r="A73" s="35">
        <v>45884</v>
      </c>
      <c r="B73" s="36" t="s">
        <v>16</v>
      </c>
      <c r="C73" s="37" t="s">
        <v>14</v>
      </c>
      <c r="D73" s="37" t="s">
        <v>5</v>
      </c>
      <c r="E73" s="50">
        <v>21.76</v>
      </c>
      <c r="F73" s="18"/>
      <c r="G73" s="19"/>
    </row>
    <row r="74" spans="1:7" x14ac:dyDescent="0.25">
      <c r="A74" s="35">
        <v>45885</v>
      </c>
      <c r="B74" s="36" t="s">
        <v>16</v>
      </c>
      <c r="C74" s="37" t="s">
        <v>16</v>
      </c>
      <c r="D74" s="37" t="s">
        <v>6</v>
      </c>
      <c r="E74" s="50">
        <v>5.82</v>
      </c>
      <c r="F74" s="18"/>
      <c r="G74" s="19"/>
    </row>
    <row r="75" spans="1:7" x14ac:dyDescent="0.25">
      <c r="A75" s="35">
        <v>45885</v>
      </c>
      <c r="B75" s="36" t="s">
        <v>16</v>
      </c>
      <c r="C75" s="37" t="s">
        <v>12</v>
      </c>
      <c r="D75" s="37" t="s">
        <v>15</v>
      </c>
      <c r="E75" s="50">
        <v>36.799999999999997</v>
      </c>
      <c r="F75" s="18"/>
      <c r="G75" s="19"/>
    </row>
    <row r="76" spans="1:7" x14ac:dyDescent="0.25">
      <c r="A76" s="35">
        <v>45886</v>
      </c>
      <c r="B76" s="36" t="s">
        <v>16</v>
      </c>
      <c r="C76" s="37" t="s">
        <v>66</v>
      </c>
      <c r="D76" s="37" t="s">
        <v>6</v>
      </c>
      <c r="E76" s="50">
        <v>35.61</v>
      </c>
      <c r="F76" s="50">
        <v>27.58</v>
      </c>
      <c r="G76" s="19"/>
    </row>
    <row r="77" spans="1:7" x14ac:dyDescent="0.25">
      <c r="A77" s="35">
        <v>45887</v>
      </c>
      <c r="B77" s="36" t="s">
        <v>16</v>
      </c>
      <c r="C77" s="37" t="s">
        <v>12</v>
      </c>
      <c r="D77" s="37" t="s">
        <v>15</v>
      </c>
      <c r="E77" s="50">
        <v>32.07</v>
      </c>
      <c r="F77" s="18"/>
      <c r="G77" s="19"/>
    </row>
    <row r="78" spans="1:7" x14ac:dyDescent="0.25">
      <c r="A78" s="35">
        <v>45891</v>
      </c>
      <c r="B78" s="36" t="s">
        <v>16</v>
      </c>
      <c r="C78" s="37" t="s">
        <v>16</v>
      </c>
      <c r="D78" s="37" t="s">
        <v>6</v>
      </c>
      <c r="E78" s="50">
        <v>2.19</v>
      </c>
      <c r="F78" s="18"/>
      <c r="G78" s="19"/>
    </row>
    <row r="79" spans="1:7" x14ac:dyDescent="0.25">
      <c r="A79" s="35">
        <v>45891</v>
      </c>
      <c r="B79" s="36" t="s">
        <v>16</v>
      </c>
      <c r="C79" s="37" t="s">
        <v>16</v>
      </c>
      <c r="D79" s="37" t="s">
        <v>6</v>
      </c>
      <c r="E79" s="50">
        <v>2.04</v>
      </c>
      <c r="F79" s="18"/>
      <c r="G79" s="19"/>
    </row>
    <row r="80" spans="1:7" x14ac:dyDescent="0.25">
      <c r="A80" s="35">
        <v>45892</v>
      </c>
      <c r="B80" s="36" t="s">
        <v>16</v>
      </c>
      <c r="C80" s="37" t="s">
        <v>66</v>
      </c>
      <c r="D80" s="37" t="s">
        <v>6</v>
      </c>
      <c r="E80" s="50">
        <v>43.88</v>
      </c>
      <c r="F80" s="18"/>
      <c r="G80" s="19"/>
    </row>
    <row r="81" spans="1:7" x14ac:dyDescent="0.25">
      <c r="A81" s="35">
        <v>45893</v>
      </c>
      <c r="B81" s="36" t="s">
        <v>16</v>
      </c>
      <c r="C81" s="37" t="s">
        <v>16</v>
      </c>
      <c r="D81" s="37" t="s">
        <v>3</v>
      </c>
      <c r="E81" s="50">
        <v>23.61</v>
      </c>
      <c r="F81" s="18"/>
      <c r="G81" s="19"/>
    </row>
    <row r="82" spans="1:7" x14ac:dyDescent="0.25">
      <c r="A82" s="35">
        <v>45894</v>
      </c>
      <c r="B82" s="36" t="s">
        <v>16</v>
      </c>
      <c r="C82" s="37" t="s">
        <v>12</v>
      </c>
      <c r="D82" s="37" t="s">
        <v>15</v>
      </c>
      <c r="E82" s="50">
        <v>27.76</v>
      </c>
      <c r="F82" s="18"/>
      <c r="G82" s="19"/>
    </row>
    <row r="83" spans="1:7" x14ac:dyDescent="0.25">
      <c r="A83" s="35">
        <v>45894</v>
      </c>
      <c r="B83" s="36" t="s">
        <v>16</v>
      </c>
      <c r="C83" s="37" t="s">
        <v>66</v>
      </c>
      <c r="D83" s="37" t="s">
        <v>6</v>
      </c>
      <c r="E83" s="50">
        <v>4.74</v>
      </c>
      <c r="F83" s="18"/>
      <c r="G83" s="19"/>
    </row>
    <row r="84" spans="1:7" x14ac:dyDescent="0.25">
      <c r="A84" s="35">
        <v>45897</v>
      </c>
      <c r="B84" s="36" t="s">
        <v>16</v>
      </c>
      <c r="C84" s="37" t="s">
        <v>12</v>
      </c>
      <c r="D84" s="37" t="s">
        <v>15</v>
      </c>
      <c r="E84" s="50">
        <v>21.83</v>
      </c>
      <c r="F84" s="18"/>
      <c r="G84" s="19"/>
    </row>
    <row r="85" spans="1:7" x14ac:dyDescent="0.25">
      <c r="A85" s="35">
        <v>45898</v>
      </c>
      <c r="B85" s="36" t="s">
        <v>16</v>
      </c>
      <c r="C85" s="37" t="s">
        <v>12</v>
      </c>
      <c r="D85" s="37" t="s">
        <v>15</v>
      </c>
      <c r="E85" s="50">
        <v>34.68</v>
      </c>
      <c r="F85" s="18"/>
      <c r="G85" s="19"/>
    </row>
    <row r="86" spans="1:7" x14ac:dyDescent="0.25">
      <c r="A86" s="35">
        <v>45898</v>
      </c>
      <c r="B86" s="36" t="s">
        <v>16</v>
      </c>
      <c r="C86" s="37" t="s">
        <v>66</v>
      </c>
      <c r="D86" s="37" t="s">
        <v>6</v>
      </c>
      <c r="E86" s="50">
        <v>51.17</v>
      </c>
      <c r="F86" s="18"/>
      <c r="G86" s="19"/>
    </row>
    <row r="87" spans="1:7" x14ac:dyDescent="0.25">
      <c r="A87" s="35">
        <v>45898</v>
      </c>
      <c r="B87" s="36" t="s">
        <v>16</v>
      </c>
      <c r="C87" s="37" t="s">
        <v>66</v>
      </c>
      <c r="D87" s="37" t="s">
        <v>6</v>
      </c>
      <c r="E87" s="50">
        <v>4.1100000000000003</v>
      </c>
      <c r="F87" s="18"/>
      <c r="G87" s="19"/>
    </row>
    <row r="88" spans="1:7" x14ac:dyDescent="0.25">
      <c r="A88" s="35">
        <v>45899</v>
      </c>
      <c r="B88" s="36" t="s">
        <v>16</v>
      </c>
      <c r="C88" s="37" t="s">
        <v>16</v>
      </c>
      <c r="D88" s="37" t="s">
        <v>6</v>
      </c>
      <c r="E88" s="50">
        <v>2.14</v>
      </c>
      <c r="F88" s="18"/>
      <c r="G88" s="19"/>
    </row>
    <row r="89" spans="1:7" x14ac:dyDescent="0.25">
      <c r="A89" s="35">
        <v>45899</v>
      </c>
      <c r="B89" s="36" t="s">
        <v>16</v>
      </c>
      <c r="C89" s="37" t="s">
        <v>16</v>
      </c>
      <c r="D89" s="37" t="s">
        <v>81</v>
      </c>
      <c r="E89" s="50">
        <v>21.63</v>
      </c>
      <c r="F89" s="18"/>
      <c r="G89" s="19"/>
    </row>
    <row r="90" spans="1:7" x14ac:dyDescent="0.25">
      <c r="A90" s="35">
        <v>45899</v>
      </c>
      <c r="B90" s="36" t="s">
        <v>16</v>
      </c>
      <c r="C90" s="37" t="s">
        <v>66</v>
      </c>
      <c r="D90" s="37" t="s">
        <v>6</v>
      </c>
      <c r="E90" s="50">
        <v>7.52</v>
      </c>
      <c r="F90" s="18"/>
      <c r="G90" s="19"/>
    </row>
    <row r="91" spans="1:7" x14ac:dyDescent="0.25">
      <c r="A91" s="35">
        <v>45899</v>
      </c>
      <c r="B91" s="36" t="s">
        <v>16</v>
      </c>
      <c r="C91" s="37" t="s">
        <v>66</v>
      </c>
      <c r="D91" s="37" t="s">
        <v>6</v>
      </c>
      <c r="E91" s="50">
        <v>45.4</v>
      </c>
      <c r="F91" s="18"/>
      <c r="G91" s="19"/>
    </row>
    <row r="92" spans="1:7" x14ac:dyDescent="0.25">
      <c r="A92" s="35">
        <v>45900</v>
      </c>
      <c r="B92" s="36" t="s">
        <v>16</v>
      </c>
      <c r="C92" s="37" t="s">
        <v>66</v>
      </c>
      <c r="D92" s="37" t="s">
        <v>6</v>
      </c>
      <c r="E92" s="50">
        <v>6.94</v>
      </c>
      <c r="F92" s="18"/>
      <c r="G92" s="19"/>
    </row>
    <row r="93" spans="1:7" x14ac:dyDescent="0.25">
      <c r="A93" s="35">
        <v>45900</v>
      </c>
      <c r="B93" s="36" t="s">
        <v>16</v>
      </c>
      <c r="C93" s="37" t="s">
        <v>12</v>
      </c>
      <c r="D93" s="37" t="s">
        <v>15</v>
      </c>
      <c r="E93" s="50">
        <v>2.41</v>
      </c>
      <c r="F93" s="18"/>
      <c r="G93" s="19"/>
    </row>
    <row r="94" spans="1:7" x14ac:dyDescent="0.25">
      <c r="A94" s="35">
        <v>45900</v>
      </c>
      <c r="B94" s="36" t="s">
        <v>16</v>
      </c>
      <c r="C94" s="37" t="s">
        <v>12</v>
      </c>
      <c r="D94" s="37" t="s">
        <v>15</v>
      </c>
      <c r="E94" s="50">
        <v>12.48</v>
      </c>
      <c r="F94" s="18"/>
      <c r="G94" s="19"/>
    </row>
    <row r="95" spans="1:7" x14ac:dyDescent="0.25">
      <c r="A95" s="35">
        <v>45900</v>
      </c>
      <c r="B95" s="36" t="s">
        <v>16</v>
      </c>
      <c r="C95" s="37" t="s">
        <v>42</v>
      </c>
      <c r="D95" s="37" t="s">
        <v>15</v>
      </c>
      <c r="E95" s="50">
        <v>37.03</v>
      </c>
      <c r="F95" s="18"/>
      <c r="G95" s="19"/>
    </row>
    <row r="96" spans="1:7" x14ac:dyDescent="0.25">
      <c r="A96" s="35">
        <v>45901</v>
      </c>
      <c r="B96" s="36" t="s">
        <v>16</v>
      </c>
      <c r="C96" s="37" t="s">
        <v>16</v>
      </c>
      <c r="D96" s="37" t="s">
        <v>3</v>
      </c>
      <c r="E96" s="50">
        <v>14.34</v>
      </c>
      <c r="F96" s="18"/>
      <c r="G96" s="19"/>
    </row>
    <row r="97" spans="1:7" x14ac:dyDescent="0.25">
      <c r="A97" s="35">
        <v>45901</v>
      </c>
      <c r="B97" s="36" t="s">
        <v>16</v>
      </c>
      <c r="C97" s="37" t="s">
        <v>16</v>
      </c>
      <c r="D97" s="37" t="s">
        <v>6</v>
      </c>
      <c r="E97" s="50">
        <v>2.19</v>
      </c>
      <c r="F97" s="18"/>
      <c r="G97" s="19"/>
    </row>
    <row r="98" spans="1:7" x14ac:dyDescent="0.25">
      <c r="A98" s="35">
        <v>45903</v>
      </c>
      <c r="B98" s="36" t="s">
        <v>16</v>
      </c>
      <c r="C98" s="37" t="s">
        <v>12</v>
      </c>
      <c r="D98" s="37" t="s">
        <v>15</v>
      </c>
      <c r="E98" s="50">
        <v>29.21</v>
      </c>
      <c r="F98" s="18"/>
      <c r="G98" s="19"/>
    </row>
    <row r="99" spans="1:7" x14ac:dyDescent="0.25">
      <c r="A99" s="35">
        <v>45905</v>
      </c>
      <c r="B99" s="36" t="s">
        <v>16</v>
      </c>
      <c r="C99" s="37" t="s">
        <v>16</v>
      </c>
      <c r="D99" s="37" t="s">
        <v>15</v>
      </c>
      <c r="E99" s="50">
        <v>31.3</v>
      </c>
      <c r="F99" s="18"/>
      <c r="G99" s="19"/>
    </row>
    <row r="100" spans="1:7" x14ac:dyDescent="0.25">
      <c r="A100" s="35">
        <v>45905</v>
      </c>
      <c r="B100" s="36" t="s">
        <v>16</v>
      </c>
      <c r="C100" s="37" t="s">
        <v>16</v>
      </c>
      <c r="D100" s="37" t="s">
        <v>6</v>
      </c>
      <c r="E100" s="50">
        <v>2.0499999999999998</v>
      </c>
      <c r="F100" s="18"/>
      <c r="G100" s="19"/>
    </row>
    <row r="101" spans="1:7" x14ac:dyDescent="0.25">
      <c r="A101" s="35">
        <v>45905</v>
      </c>
      <c r="B101" s="36" t="s">
        <v>16</v>
      </c>
      <c r="C101" s="37" t="s">
        <v>14</v>
      </c>
      <c r="D101" s="37" t="s">
        <v>5</v>
      </c>
      <c r="E101" s="50">
        <v>14</v>
      </c>
      <c r="F101" s="18"/>
      <c r="G101" s="19"/>
    </row>
    <row r="102" spans="1:7" x14ac:dyDescent="0.25">
      <c r="A102" s="35">
        <v>45906</v>
      </c>
      <c r="B102" s="36" t="s">
        <v>16</v>
      </c>
      <c r="C102" s="37" t="s">
        <v>16</v>
      </c>
      <c r="D102" s="37" t="s">
        <v>3</v>
      </c>
      <c r="E102" s="50">
        <v>81.510000000000005</v>
      </c>
      <c r="F102" s="18"/>
      <c r="G102" s="19"/>
    </row>
    <row r="103" spans="1:7" x14ac:dyDescent="0.25">
      <c r="A103" s="35">
        <v>45907</v>
      </c>
      <c r="B103" s="36" t="s">
        <v>16</v>
      </c>
      <c r="C103" s="37" t="s">
        <v>12</v>
      </c>
      <c r="D103" s="37" t="s">
        <v>6</v>
      </c>
      <c r="E103" s="50">
        <v>3.08</v>
      </c>
      <c r="F103" s="18"/>
      <c r="G103" s="9"/>
    </row>
    <row r="104" spans="1:7" x14ac:dyDescent="0.25">
      <c r="A104" s="42" t="s">
        <v>21</v>
      </c>
      <c r="B104" s="43"/>
      <c r="C104" s="2"/>
      <c r="D104" s="2"/>
      <c r="E104" s="38">
        <f>SUM(E2:E103)</f>
        <v>3373.5900000000011</v>
      </c>
      <c r="F104" s="38">
        <f>SUM(F2:F103)</f>
        <v>599.21000000000015</v>
      </c>
      <c r="G104" s="44">
        <f>SUM(G2:G103)</f>
        <v>5.5</v>
      </c>
    </row>
    <row r="105" spans="1:7" x14ac:dyDescent="0.25">
      <c r="A105" s="45" t="s">
        <v>17</v>
      </c>
      <c r="B105" s="46"/>
      <c r="C105" s="51">
        <f>SUMIF(B2:B103,"Capitol One",F2:F103)</f>
        <v>450.24000000000007</v>
      </c>
      <c r="D105" s="2"/>
      <c r="E105" s="2"/>
      <c r="F105" s="2"/>
      <c r="G105" s="9"/>
    </row>
    <row r="106" spans="1:7" x14ac:dyDescent="0.25">
      <c r="A106" s="42" t="s">
        <v>18</v>
      </c>
      <c r="B106" s="43"/>
      <c r="C106" s="38">
        <f>SUMIF(B37:B103,"Sam's Club",F37:F103)</f>
        <v>148.97</v>
      </c>
      <c r="D106" s="2"/>
      <c r="E106" s="2"/>
      <c r="F106" s="2"/>
      <c r="G106" s="9"/>
    </row>
    <row r="107" spans="1:7" x14ac:dyDescent="0.25">
      <c r="A107" s="42" t="s">
        <v>90</v>
      </c>
      <c r="B107" s="43"/>
      <c r="C107" s="51">
        <f>SUMIF(B37:B103,"Discover",F37:F103)</f>
        <v>0</v>
      </c>
      <c r="D107" s="17"/>
      <c r="E107" s="17"/>
      <c r="F107" s="17"/>
      <c r="G107" s="13"/>
    </row>
    <row r="108" spans="1:7" x14ac:dyDescent="0.25">
      <c r="A108" s="42" t="s">
        <v>91</v>
      </c>
      <c r="B108" s="43"/>
      <c r="C108" s="38">
        <f>SUMIF($B2:B103,"Discover",$E2:E103)+SUMIF($B2:B103,"Discover",$G2:G103)-C107</f>
        <v>0</v>
      </c>
      <c r="D108" s="2"/>
      <c r="E108" s="2"/>
      <c r="F108" s="2"/>
      <c r="G108" s="9"/>
    </row>
    <row r="109" spans="1:7" x14ac:dyDescent="0.25">
      <c r="A109" s="45" t="s">
        <v>19</v>
      </c>
      <c r="B109" s="46"/>
      <c r="C109" s="38">
        <f>SUMIF($B2:B103,"Capitol One",$E2:E103)+SUMIF($B2:B103,"Capitol One",$G2:G103)-C105</f>
        <v>2130.2399999999989</v>
      </c>
      <c r="D109" s="2"/>
      <c r="E109" s="2"/>
      <c r="F109" s="2"/>
      <c r="G109" s="9"/>
    </row>
    <row r="110" spans="1:7" ht="15.75" thickBot="1" x14ac:dyDescent="0.3">
      <c r="A110" s="47" t="s">
        <v>20</v>
      </c>
      <c r="B110" s="48"/>
      <c r="C110" s="49">
        <f>SUMIF($B2:B103,"Sam's Club",$E2:E103)+SUMIF($B2:B103,"Sam's Club",$G2:G103)-C106</f>
        <v>649.6400000000001</v>
      </c>
      <c r="D110" s="10"/>
      <c r="E110" s="10"/>
      <c r="F110" s="10"/>
      <c r="G110" s="11"/>
    </row>
  </sheetData>
  <autoFilter ref="A1:G1" xr:uid="{55C6C991-3FFE-4866-967D-4139DF94C020}">
    <sortState xmlns:xlrd2="http://schemas.microsoft.com/office/spreadsheetml/2017/richdata2" ref="A2:G67">
      <sortCondition ref="A1"/>
    </sortState>
  </autoFilter>
  <dataConsolidate/>
  <mergeCells count="7">
    <mergeCell ref="A110:B110"/>
    <mergeCell ref="A104:B104"/>
    <mergeCell ref="A105:B105"/>
    <mergeCell ref="A106:B106"/>
    <mergeCell ref="A107:B107"/>
    <mergeCell ref="A108:B108"/>
    <mergeCell ref="A109:B109"/>
  </mergeCells>
  <dataValidations count="12">
    <dataValidation type="date" allowBlank="1" showInputMessage="1" showErrorMessage="1" sqref="A63:A64" xr:uid="{C51DF98D-A32E-4AD4-BC40-DF0E592716A8}">
      <formula1>A63</formula1>
      <formula2>A128</formula2>
    </dataValidation>
    <dataValidation type="date" allowBlank="1" showInputMessage="1" showErrorMessage="1" sqref="A65:A77" xr:uid="{FCA977A9-EFF3-431C-B1C2-C334A67D433B}">
      <formula1>A65</formula1>
      <formula2>A129</formula2>
    </dataValidation>
    <dataValidation type="date" allowBlank="1" showInputMessage="1" showErrorMessage="1" sqref="A78:A94" xr:uid="{9709DF7C-E4FC-48FA-9E9A-CAE75597D276}">
      <formula1>A78</formula1>
      <formula2>A134</formula2>
    </dataValidation>
    <dataValidation type="date" allowBlank="1" showInputMessage="1" showErrorMessage="1" sqref="A37:A56" xr:uid="{27EFC250-5F8C-41A0-9644-57EE56EAE633}">
      <formula1>A37</formula1>
      <formula2>A107</formula2>
    </dataValidation>
    <dataValidation type="date" allowBlank="1" showInputMessage="1" showErrorMessage="1" sqref="A57:A62" xr:uid="{73F9AA05-2BEA-478C-97DF-5299C89E44C2}">
      <formula1>A57</formula1>
      <formula2>A128</formula2>
    </dataValidation>
    <dataValidation type="date" allowBlank="1" showInputMessage="1" showErrorMessage="1" sqref="A95:A100" xr:uid="{0A20630A-FCA0-4B7E-9A81-076206CB6836}">
      <formula1>A95</formula1>
      <formula2>A130</formula2>
    </dataValidation>
    <dataValidation type="date" allowBlank="1" showInputMessage="1" showErrorMessage="1" sqref="A101:A103" xr:uid="{09F1EC39-3D9A-46BD-9234-7D9119AFA28F}">
      <formula1>A101</formula1>
      <formula2>A132</formula2>
    </dataValidation>
    <dataValidation type="list" allowBlank="1" showInputMessage="1" showErrorMessage="1" sqref="B2:B103" xr:uid="{208175B7-6207-423F-A9A1-7E3426B65DB8}">
      <formula1>CCUsed</formula1>
    </dataValidation>
    <dataValidation type="list" allowBlank="1" showInputMessage="1" showErrorMessage="1" sqref="D2:D103" xr:uid="{D2CBFDEF-0871-4FD9-9374-32AAE88A2FC5}">
      <formula1>ItemsDescription</formula1>
    </dataValidation>
    <dataValidation type="list" allowBlank="1" showInputMessage="1" showErrorMessage="1" sqref="C2:C103" xr:uid="{29D0BB94-AB8E-4DFC-AB97-160A468E68D3}">
      <formula1>StoresDescription</formula1>
    </dataValidation>
    <dataValidation type="date" allowBlank="1" showInputMessage="1" showErrorMessage="1" sqref="A26:A36 A2:A23" xr:uid="{0B186F43-AD07-47CE-81DB-FC3D3EDB02B3}">
      <formula1>A2</formula1>
      <formula2>#REF!</formula2>
    </dataValidation>
    <dataValidation type="date" allowBlank="1" showInputMessage="1" showErrorMessage="1" sqref="A24:A25" xr:uid="{F6AEE256-7EFB-4D50-B400-2020D5B19D56}">
      <formula1>A24</formula1>
      <formula2>A104</formula2>
    </dataValidation>
  </dataValidations>
  <pageMargins left="0.7" right="0.7" top="0.75" bottom="0.75" header="0.3" footer="0.3"/>
  <pageSetup paperSize="3" scale="76" fitToWidth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2526-E3FD-43A8-9E8F-7BFEE7F3AB99}">
  <sheetPr codeName="Sheet10">
    <pageSetUpPr fitToPage="1"/>
  </sheetPr>
  <dimension ref="A1:J121"/>
  <sheetViews>
    <sheetView tabSelected="1" zoomScale="85" zoomScaleNormal="85" zoomScaleSheetLayoutView="62" workbookViewId="0">
      <pane ySplit="1" topLeftCell="A20" activePane="bottomLeft" state="frozen"/>
      <selection activeCell="C4" sqref="C4"/>
      <selection pane="bottomLeft" activeCell="B50" sqref="B50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4.5703125" bestFit="1" customWidth="1"/>
    <col min="4" max="4" width="20.140625" bestFit="1" customWidth="1"/>
    <col min="5" max="6" width="10.5703125" bestFit="1" customWidth="1"/>
    <col min="7" max="7" width="8.7109375" bestFit="1" customWidth="1"/>
    <col min="8" max="8" width="8.5703125" customWidth="1"/>
    <col min="9" max="9" width="20.28515625" bestFit="1" customWidth="1"/>
    <col min="10" max="10" width="10.5703125" bestFit="1" customWidth="1"/>
  </cols>
  <sheetData>
    <row r="1" spans="1:10" x14ac:dyDescent="0.25">
      <c r="A1" s="31" t="s">
        <v>0</v>
      </c>
      <c r="B1" s="32" t="s">
        <v>24</v>
      </c>
      <c r="C1" s="33" t="s">
        <v>1</v>
      </c>
      <c r="D1" s="33" t="s">
        <v>2</v>
      </c>
      <c r="E1" s="33" t="s">
        <v>25</v>
      </c>
      <c r="F1" s="33" t="s">
        <v>26</v>
      </c>
      <c r="G1" s="34" t="s">
        <v>30</v>
      </c>
    </row>
    <row r="2" spans="1:10" x14ac:dyDescent="0.25">
      <c r="A2" s="35">
        <v>45915</v>
      </c>
      <c r="B2" s="36" t="s">
        <v>23</v>
      </c>
      <c r="C2" s="37" t="s">
        <v>12</v>
      </c>
      <c r="D2" s="37" t="s">
        <v>3</v>
      </c>
      <c r="E2" s="38">
        <v>3.68</v>
      </c>
      <c r="F2" s="3"/>
      <c r="G2" s="14"/>
    </row>
    <row r="3" spans="1:10" x14ac:dyDescent="0.25">
      <c r="A3" s="35">
        <v>45915</v>
      </c>
      <c r="B3" s="36" t="s">
        <v>23</v>
      </c>
      <c r="C3" s="37" t="s">
        <v>43</v>
      </c>
      <c r="D3" s="37" t="s">
        <v>3</v>
      </c>
      <c r="E3" s="38">
        <v>29.29</v>
      </c>
      <c r="F3" s="3"/>
      <c r="G3" s="6"/>
    </row>
    <row r="4" spans="1:10" x14ac:dyDescent="0.25">
      <c r="A4" s="35">
        <v>45915</v>
      </c>
      <c r="B4" s="36" t="s">
        <v>23</v>
      </c>
      <c r="C4" s="37" t="s">
        <v>43</v>
      </c>
      <c r="D4" s="37" t="s">
        <v>3</v>
      </c>
      <c r="E4" s="38">
        <v>5.14</v>
      </c>
      <c r="F4" s="3"/>
      <c r="G4" s="6"/>
    </row>
    <row r="5" spans="1:10" x14ac:dyDescent="0.25">
      <c r="A5" s="35">
        <v>45915</v>
      </c>
      <c r="B5" s="36" t="s">
        <v>23</v>
      </c>
      <c r="C5" s="37" t="s">
        <v>12</v>
      </c>
      <c r="D5" s="37" t="s">
        <v>3</v>
      </c>
      <c r="E5" s="38">
        <v>25.88</v>
      </c>
      <c r="F5" s="3"/>
      <c r="G5" s="6"/>
      <c r="I5" s="39" t="s">
        <v>81</v>
      </c>
      <c r="J5" s="38">
        <f t="shared" ref="J5:J11" si="0">SUMIF($D$2:$D$114,I5,$E$2:$E$114)-SUMIF($D$2:$D$114,I5,$F$2:$F$114)</f>
        <v>154.21999999999997</v>
      </c>
    </row>
    <row r="6" spans="1:10" x14ac:dyDescent="0.25">
      <c r="A6" s="35">
        <v>45915</v>
      </c>
      <c r="B6" s="36" t="s">
        <v>23</v>
      </c>
      <c r="C6" s="37" t="s">
        <v>40</v>
      </c>
      <c r="D6" s="37" t="s">
        <v>4</v>
      </c>
      <c r="E6" s="38">
        <v>6.48</v>
      </c>
      <c r="F6" s="3"/>
      <c r="G6" s="6"/>
      <c r="I6" s="39" t="s">
        <v>5</v>
      </c>
      <c r="J6" s="38">
        <f t="shared" si="0"/>
        <v>430.19000000000011</v>
      </c>
    </row>
    <row r="7" spans="1:10" x14ac:dyDescent="0.25">
      <c r="A7" s="35">
        <v>45915</v>
      </c>
      <c r="B7" s="36" t="s">
        <v>23</v>
      </c>
      <c r="C7" s="37" t="s">
        <v>12</v>
      </c>
      <c r="D7" s="37" t="s">
        <v>3</v>
      </c>
      <c r="E7" s="38">
        <v>25.9</v>
      </c>
      <c r="F7" s="3"/>
      <c r="G7" s="6"/>
      <c r="I7" s="39" t="s">
        <v>6</v>
      </c>
      <c r="J7" s="38">
        <f t="shared" si="0"/>
        <v>21.669999999999998</v>
      </c>
    </row>
    <row r="8" spans="1:10" x14ac:dyDescent="0.25">
      <c r="A8" s="35">
        <v>45916</v>
      </c>
      <c r="B8" s="36" t="s">
        <v>23</v>
      </c>
      <c r="C8" s="37" t="s">
        <v>12</v>
      </c>
      <c r="D8" s="37" t="s">
        <v>3</v>
      </c>
      <c r="E8" s="38">
        <v>0.9</v>
      </c>
      <c r="F8" s="3"/>
      <c r="G8" s="6"/>
      <c r="I8" s="39" t="s">
        <v>15</v>
      </c>
      <c r="J8" s="38">
        <f t="shared" si="0"/>
        <v>0</v>
      </c>
    </row>
    <row r="9" spans="1:10" x14ac:dyDescent="0.25">
      <c r="A9" s="35">
        <v>45916</v>
      </c>
      <c r="B9" s="36" t="s">
        <v>23</v>
      </c>
      <c r="C9" s="37" t="s">
        <v>12</v>
      </c>
      <c r="D9" s="37" t="s">
        <v>3</v>
      </c>
      <c r="E9" s="38">
        <v>6.9</v>
      </c>
      <c r="F9" s="3"/>
      <c r="G9" s="6"/>
      <c r="I9" s="39" t="s">
        <v>3</v>
      </c>
      <c r="J9" s="38">
        <f t="shared" si="0"/>
        <v>882.71999999999991</v>
      </c>
    </row>
    <row r="10" spans="1:10" x14ac:dyDescent="0.25">
      <c r="A10" s="35">
        <v>45916</v>
      </c>
      <c r="B10" s="36" t="s">
        <v>23</v>
      </c>
      <c r="C10" s="37" t="s">
        <v>7</v>
      </c>
      <c r="D10" s="37" t="s">
        <v>81</v>
      </c>
      <c r="E10" s="3"/>
      <c r="F10" s="38">
        <v>9.3699999999999992</v>
      </c>
      <c r="G10" s="6"/>
      <c r="I10" s="39" t="s">
        <v>4</v>
      </c>
      <c r="J10" s="38">
        <f t="shared" si="0"/>
        <v>160.6</v>
      </c>
    </row>
    <row r="11" spans="1:10" x14ac:dyDescent="0.25">
      <c r="A11" s="35">
        <v>45916</v>
      </c>
      <c r="B11" s="36" t="s">
        <v>23</v>
      </c>
      <c r="C11" s="37" t="s">
        <v>4</v>
      </c>
      <c r="D11" s="37" t="s">
        <v>4</v>
      </c>
      <c r="E11" s="38">
        <v>152.16</v>
      </c>
      <c r="F11" s="3"/>
      <c r="G11" s="6"/>
      <c r="I11" s="39" t="s">
        <v>84</v>
      </c>
      <c r="J11" s="38">
        <f t="shared" si="0"/>
        <v>374.94</v>
      </c>
    </row>
    <row r="12" spans="1:10" x14ac:dyDescent="0.25">
      <c r="A12" s="35">
        <v>45917</v>
      </c>
      <c r="B12" s="36" t="s">
        <v>23</v>
      </c>
      <c r="C12" s="37" t="s">
        <v>38</v>
      </c>
      <c r="D12" s="37" t="s">
        <v>3</v>
      </c>
      <c r="E12" s="38">
        <v>9.75</v>
      </c>
      <c r="F12" s="3"/>
      <c r="G12" s="6"/>
      <c r="I12" s="39" t="s">
        <v>30</v>
      </c>
      <c r="J12" s="38">
        <f>SUMIF($D$2:$D$114,I12,$G$2:$G$114)-SUMIF($D$2:$D$114,I12,$F$2:$F$114)</f>
        <v>0</v>
      </c>
    </row>
    <row r="13" spans="1:10" x14ac:dyDescent="0.25">
      <c r="A13" s="35">
        <v>45918</v>
      </c>
      <c r="B13" s="36" t="s">
        <v>23</v>
      </c>
      <c r="C13" s="37" t="s">
        <v>12</v>
      </c>
      <c r="D13" s="37" t="s">
        <v>3</v>
      </c>
      <c r="E13" s="38">
        <v>13.79</v>
      </c>
      <c r="F13" s="3"/>
      <c r="G13" s="6"/>
    </row>
    <row r="14" spans="1:10" x14ac:dyDescent="0.25">
      <c r="A14" s="35">
        <v>45918</v>
      </c>
      <c r="B14" s="36" t="s">
        <v>23</v>
      </c>
      <c r="C14" s="37" t="s">
        <v>43</v>
      </c>
      <c r="D14" s="37" t="s">
        <v>3</v>
      </c>
      <c r="E14" s="38">
        <v>3.66</v>
      </c>
      <c r="F14" s="3"/>
      <c r="G14" s="6"/>
    </row>
    <row r="15" spans="1:10" x14ac:dyDescent="0.25">
      <c r="A15" s="35">
        <v>45918</v>
      </c>
      <c r="B15" s="36" t="s">
        <v>23</v>
      </c>
      <c r="C15" s="37" t="s">
        <v>14</v>
      </c>
      <c r="D15" s="37" t="s">
        <v>5</v>
      </c>
      <c r="E15" s="3">
        <v>174.2</v>
      </c>
      <c r="F15" s="3"/>
      <c r="G15" s="6"/>
    </row>
    <row r="16" spans="1:10" x14ac:dyDescent="0.25">
      <c r="A16" s="8">
        <v>45918</v>
      </c>
      <c r="B16" s="4" t="s">
        <v>23</v>
      </c>
      <c r="C16" s="5" t="s">
        <v>66</v>
      </c>
      <c r="D16" s="5" t="s">
        <v>6</v>
      </c>
      <c r="E16" s="3">
        <v>10.93</v>
      </c>
      <c r="F16" s="3"/>
      <c r="G16" s="6"/>
    </row>
    <row r="17" spans="1:7" x14ac:dyDescent="0.25">
      <c r="A17" s="8">
        <v>45919</v>
      </c>
      <c r="B17" s="4" t="s">
        <v>23</v>
      </c>
      <c r="C17" s="5" t="s">
        <v>12</v>
      </c>
      <c r="D17" s="5" t="s">
        <v>3</v>
      </c>
      <c r="E17" s="3">
        <v>4.5999999999999996</v>
      </c>
      <c r="F17" s="3"/>
      <c r="G17" s="6"/>
    </row>
    <row r="18" spans="1:7" x14ac:dyDescent="0.25">
      <c r="A18" s="8">
        <v>45919</v>
      </c>
      <c r="B18" s="4" t="s">
        <v>23</v>
      </c>
      <c r="C18" s="5" t="s">
        <v>12</v>
      </c>
      <c r="D18" s="5" t="s">
        <v>3</v>
      </c>
      <c r="E18" s="3">
        <v>5.73</v>
      </c>
      <c r="F18" s="3"/>
      <c r="G18" s="6"/>
    </row>
    <row r="19" spans="1:7" x14ac:dyDescent="0.25">
      <c r="A19" s="8">
        <v>45919</v>
      </c>
      <c r="B19" s="4" t="s">
        <v>23</v>
      </c>
      <c r="C19" s="5" t="s">
        <v>62</v>
      </c>
      <c r="D19" s="5" t="s">
        <v>84</v>
      </c>
      <c r="E19" s="3">
        <v>30.94</v>
      </c>
      <c r="F19" s="3"/>
      <c r="G19" s="6"/>
    </row>
    <row r="20" spans="1:7" x14ac:dyDescent="0.25">
      <c r="A20" s="8">
        <v>45919</v>
      </c>
      <c r="B20" s="4" t="s">
        <v>23</v>
      </c>
      <c r="C20" s="5" t="s">
        <v>38</v>
      </c>
      <c r="D20" s="5" t="s">
        <v>3</v>
      </c>
      <c r="E20" s="3">
        <v>5.79</v>
      </c>
      <c r="F20" s="3"/>
      <c r="G20" s="6"/>
    </row>
    <row r="21" spans="1:7" x14ac:dyDescent="0.25">
      <c r="A21" s="8">
        <v>45920</v>
      </c>
      <c r="B21" s="4" t="s">
        <v>23</v>
      </c>
      <c r="C21" s="5" t="s">
        <v>12</v>
      </c>
      <c r="D21" s="5" t="s">
        <v>3</v>
      </c>
      <c r="E21" s="3">
        <v>15.6</v>
      </c>
      <c r="F21" s="3"/>
      <c r="G21" s="6"/>
    </row>
    <row r="22" spans="1:7" x14ac:dyDescent="0.25">
      <c r="A22" s="8">
        <v>45920</v>
      </c>
      <c r="B22" s="4" t="s">
        <v>23</v>
      </c>
      <c r="C22" s="5" t="s">
        <v>14</v>
      </c>
      <c r="D22" s="5" t="s">
        <v>5</v>
      </c>
      <c r="E22" s="3">
        <v>90.91</v>
      </c>
      <c r="F22" s="3">
        <v>10</v>
      </c>
      <c r="G22" s="6"/>
    </row>
    <row r="23" spans="1:7" x14ac:dyDescent="0.25">
      <c r="A23" s="8">
        <v>45920</v>
      </c>
      <c r="B23" s="4" t="s">
        <v>23</v>
      </c>
      <c r="C23" s="5" t="s">
        <v>48</v>
      </c>
      <c r="D23" s="5" t="s">
        <v>3</v>
      </c>
      <c r="E23" s="3">
        <v>52.95</v>
      </c>
      <c r="F23" s="3"/>
      <c r="G23" s="6"/>
    </row>
    <row r="24" spans="1:7" x14ac:dyDescent="0.25">
      <c r="A24" s="8">
        <v>45920</v>
      </c>
      <c r="B24" s="4" t="s">
        <v>23</v>
      </c>
      <c r="C24" s="5" t="s">
        <v>62</v>
      </c>
      <c r="D24" s="5" t="s">
        <v>84</v>
      </c>
      <c r="E24" s="3">
        <v>160</v>
      </c>
      <c r="F24" s="3"/>
      <c r="G24" s="6"/>
    </row>
    <row r="25" spans="1:7" x14ac:dyDescent="0.25">
      <c r="A25" s="8">
        <v>45922</v>
      </c>
      <c r="B25" s="4" t="s">
        <v>23</v>
      </c>
      <c r="C25" s="5" t="s">
        <v>66</v>
      </c>
      <c r="D25" s="5" t="s">
        <v>6</v>
      </c>
      <c r="E25" s="3">
        <v>6.88</v>
      </c>
      <c r="F25" s="3"/>
      <c r="G25" s="6"/>
    </row>
    <row r="26" spans="1:7" x14ac:dyDescent="0.25">
      <c r="A26" s="8">
        <v>45922</v>
      </c>
      <c r="B26" s="4" t="s">
        <v>23</v>
      </c>
      <c r="C26" s="5" t="s">
        <v>38</v>
      </c>
      <c r="D26" s="5" t="s">
        <v>3</v>
      </c>
      <c r="E26" s="3">
        <v>180</v>
      </c>
      <c r="F26" s="3"/>
      <c r="G26" s="6"/>
    </row>
    <row r="27" spans="1:7" x14ac:dyDescent="0.25">
      <c r="A27" s="8">
        <v>45922</v>
      </c>
      <c r="B27" s="7" t="s">
        <v>23</v>
      </c>
      <c r="C27" s="5" t="s">
        <v>48</v>
      </c>
      <c r="D27" s="5" t="s">
        <v>81</v>
      </c>
      <c r="E27" s="3">
        <v>31.33</v>
      </c>
      <c r="F27" s="3"/>
      <c r="G27" s="6"/>
    </row>
    <row r="28" spans="1:7" x14ac:dyDescent="0.25">
      <c r="A28" s="8">
        <v>45922</v>
      </c>
      <c r="B28" s="4" t="s">
        <v>23</v>
      </c>
      <c r="C28" s="5" t="s">
        <v>12</v>
      </c>
      <c r="D28" s="5" t="s">
        <v>3</v>
      </c>
      <c r="E28" s="3">
        <v>105.12</v>
      </c>
      <c r="F28" s="3"/>
      <c r="G28" s="9"/>
    </row>
    <row r="29" spans="1:7" x14ac:dyDescent="0.25">
      <c r="A29" s="8">
        <v>45922</v>
      </c>
      <c r="B29" s="7" t="s">
        <v>23</v>
      </c>
      <c r="C29" s="5" t="s">
        <v>12</v>
      </c>
      <c r="D29" s="5" t="s">
        <v>3</v>
      </c>
      <c r="E29" s="3">
        <v>44.15</v>
      </c>
      <c r="F29" s="3"/>
      <c r="G29" s="6"/>
    </row>
    <row r="30" spans="1:7" x14ac:dyDescent="0.25">
      <c r="A30" s="8">
        <v>45922</v>
      </c>
      <c r="B30" s="4" t="s">
        <v>23</v>
      </c>
      <c r="C30" s="5" t="s">
        <v>73</v>
      </c>
      <c r="D30" s="5" t="s">
        <v>81</v>
      </c>
      <c r="E30" s="3">
        <v>61.71</v>
      </c>
      <c r="F30" s="3"/>
      <c r="G30" s="6"/>
    </row>
    <row r="31" spans="1:7" x14ac:dyDescent="0.25">
      <c r="A31" s="8">
        <v>45922</v>
      </c>
      <c r="B31" s="4" t="s">
        <v>23</v>
      </c>
      <c r="C31" s="5" t="s">
        <v>94</v>
      </c>
      <c r="D31" s="5" t="s">
        <v>81</v>
      </c>
      <c r="E31" s="3">
        <v>60.92</v>
      </c>
      <c r="F31" s="3"/>
      <c r="G31" s="6"/>
    </row>
    <row r="32" spans="1:7" x14ac:dyDescent="0.25">
      <c r="A32" s="8">
        <v>45922</v>
      </c>
      <c r="B32" s="4" t="s">
        <v>23</v>
      </c>
      <c r="C32" s="5" t="s">
        <v>38</v>
      </c>
      <c r="D32" s="5" t="s">
        <v>3</v>
      </c>
      <c r="E32" s="3">
        <v>232.25</v>
      </c>
      <c r="F32" s="3"/>
      <c r="G32" s="6"/>
    </row>
    <row r="33" spans="1:7" x14ac:dyDescent="0.25">
      <c r="A33" s="8">
        <v>45924</v>
      </c>
      <c r="B33" s="4" t="s">
        <v>23</v>
      </c>
      <c r="C33" s="5" t="s">
        <v>12</v>
      </c>
      <c r="D33" s="5" t="s">
        <v>6</v>
      </c>
      <c r="E33" s="3">
        <v>1.66</v>
      </c>
      <c r="F33" s="3"/>
      <c r="G33" s="6"/>
    </row>
    <row r="34" spans="1:7" x14ac:dyDescent="0.25">
      <c r="A34" s="8">
        <v>45925</v>
      </c>
      <c r="B34" s="4" t="s">
        <v>23</v>
      </c>
      <c r="C34" s="5" t="s">
        <v>12</v>
      </c>
      <c r="D34" s="5" t="s">
        <v>3</v>
      </c>
      <c r="E34" s="3">
        <v>2.36</v>
      </c>
      <c r="F34" s="3"/>
      <c r="G34" s="6"/>
    </row>
    <row r="35" spans="1:7" x14ac:dyDescent="0.25">
      <c r="A35" s="8">
        <v>45926</v>
      </c>
      <c r="B35" s="4" t="s">
        <v>23</v>
      </c>
      <c r="C35" s="5" t="s">
        <v>12</v>
      </c>
      <c r="D35" s="5" t="s">
        <v>3</v>
      </c>
      <c r="E35" s="3">
        <v>17.350000000000001</v>
      </c>
      <c r="F35" s="3"/>
      <c r="G35" s="6"/>
    </row>
    <row r="36" spans="1:7" x14ac:dyDescent="0.25">
      <c r="A36" s="8">
        <v>45927</v>
      </c>
      <c r="B36" s="4" t="s">
        <v>23</v>
      </c>
      <c r="C36" s="5" t="s">
        <v>12</v>
      </c>
      <c r="D36" s="5" t="s">
        <v>3</v>
      </c>
      <c r="E36" s="3">
        <v>1.78</v>
      </c>
      <c r="F36" s="3"/>
      <c r="G36" s="6"/>
    </row>
    <row r="37" spans="1:7" x14ac:dyDescent="0.25">
      <c r="A37" s="8">
        <v>45927</v>
      </c>
      <c r="B37" s="4" t="s">
        <v>23</v>
      </c>
      <c r="C37" s="5" t="s">
        <v>7</v>
      </c>
      <c r="D37" s="5" t="s">
        <v>81</v>
      </c>
      <c r="E37" s="3">
        <v>11.04</v>
      </c>
      <c r="F37" s="3">
        <v>13.55</v>
      </c>
      <c r="G37" s="6"/>
    </row>
    <row r="38" spans="1:7" x14ac:dyDescent="0.25">
      <c r="A38" s="8">
        <v>45927</v>
      </c>
      <c r="B38" s="4" t="s">
        <v>23</v>
      </c>
      <c r="C38" s="5" t="s">
        <v>14</v>
      </c>
      <c r="D38" s="5" t="s">
        <v>5</v>
      </c>
      <c r="E38" s="3">
        <v>175.08</v>
      </c>
      <c r="F38" s="3"/>
      <c r="G38" s="6"/>
    </row>
    <row r="39" spans="1:7" x14ac:dyDescent="0.25">
      <c r="A39" s="8">
        <v>45927</v>
      </c>
      <c r="B39" s="4" t="s">
        <v>23</v>
      </c>
      <c r="C39" s="5" t="s">
        <v>48</v>
      </c>
      <c r="D39" s="5" t="s">
        <v>6</v>
      </c>
      <c r="E39" s="3">
        <v>2.2000000000000002</v>
      </c>
      <c r="F39" s="3"/>
      <c r="G39" s="6"/>
    </row>
    <row r="40" spans="1:7" x14ac:dyDescent="0.25">
      <c r="A40" s="8">
        <v>45927</v>
      </c>
      <c r="B40" s="4" t="s">
        <v>23</v>
      </c>
      <c r="C40" s="5" t="s">
        <v>48</v>
      </c>
      <c r="D40" s="5" t="s">
        <v>3</v>
      </c>
      <c r="E40" s="3">
        <v>33.130000000000003</v>
      </c>
      <c r="F40" s="3"/>
      <c r="G40" s="6"/>
    </row>
    <row r="41" spans="1:7" x14ac:dyDescent="0.25">
      <c r="A41" s="8">
        <v>45929</v>
      </c>
      <c r="B41" s="4" t="s">
        <v>23</v>
      </c>
      <c r="C41" s="5" t="s">
        <v>34</v>
      </c>
      <c r="D41" s="5" t="s">
        <v>84</v>
      </c>
      <c r="E41" s="3">
        <v>24</v>
      </c>
      <c r="F41" s="3"/>
      <c r="G41" s="6"/>
    </row>
    <row r="42" spans="1:7" x14ac:dyDescent="0.25">
      <c r="A42" s="8">
        <v>45929</v>
      </c>
      <c r="B42" s="4" t="s">
        <v>23</v>
      </c>
      <c r="C42" s="5" t="s">
        <v>40</v>
      </c>
      <c r="D42" s="5" t="s">
        <v>4</v>
      </c>
      <c r="E42" s="3">
        <v>1.96</v>
      </c>
      <c r="F42" s="3"/>
      <c r="G42" s="6"/>
    </row>
    <row r="43" spans="1:7" x14ac:dyDescent="0.25">
      <c r="A43" s="8">
        <v>45930</v>
      </c>
      <c r="B43" s="4" t="s">
        <v>23</v>
      </c>
      <c r="C43" s="5" t="s">
        <v>12</v>
      </c>
      <c r="D43" s="5" t="s">
        <v>3</v>
      </c>
      <c r="E43" s="3">
        <v>16.02</v>
      </c>
      <c r="F43" s="3"/>
      <c r="G43" s="6"/>
    </row>
    <row r="44" spans="1:7" x14ac:dyDescent="0.25">
      <c r="A44" s="8">
        <v>45931</v>
      </c>
      <c r="B44" s="4" t="s">
        <v>23</v>
      </c>
      <c r="C44" s="5" t="s">
        <v>14</v>
      </c>
      <c r="D44" s="5" t="s">
        <v>5</v>
      </c>
      <c r="E44" s="3">
        <v>174.2</v>
      </c>
      <c r="F44" s="3">
        <v>174.2</v>
      </c>
      <c r="G44" s="6"/>
    </row>
    <row r="45" spans="1:7" x14ac:dyDescent="0.25">
      <c r="A45" s="8">
        <v>45932</v>
      </c>
      <c r="B45" s="4" t="s">
        <v>23</v>
      </c>
      <c r="C45" s="5" t="s">
        <v>12</v>
      </c>
      <c r="D45" s="5" t="s">
        <v>3</v>
      </c>
      <c r="E45" s="3">
        <v>12.59</v>
      </c>
      <c r="F45" s="3"/>
      <c r="G45" s="6"/>
    </row>
    <row r="46" spans="1:7" x14ac:dyDescent="0.25">
      <c r="A46" s="8">
        <v>45933</v>
      </c>
      <c r="B46" s="4" t="s">
        <v>23</v>
      </c>
      <c r="C46" s="5" t="s">
        <v>12</v>
      </c>
      <c r="D46" s="5" t="s">
        <v>3</v>
      </c>
      <c r="E46" s="3">
        <v>21.54</v>
      </c>
      <c r="F46" s="3"/>
      <c r="G46" s="6"/>
    </row>
    <row r="47" spans="1:7" x14ac:dyDescent="0.25">
      <c r="A47" s="8">
        <v>45934</v>
      </c>
      <c r="B47" s="4" t="s">
        <v>23</v>
      </c>
      <c r="C47" s="5" t="s">
        <v>12</v>
      </c>
      <c r="D47" s="5" t="s">
        <v>3</v>
      </c>
      <c r="E47" s="3">
        <v>6.87</v>
      </c>
      <c r="F47" s="3"/>
      <c r="G47" s="6"/>
    </row>
    <row r="48" spans="1:7" x14ac:dyDescent="0.25">
      <c r="A48" s="8">
        <v>45934</v>
      </c>
      <c r="B48" s="4" t="s">
        <v>23</v>
      </c>
      <c r="C48" s="5" t="s">
        <v>7</v>
      </c>
      <c r="D48" s="5" t="s">
        <v>81</v>
      </c>
      <c r="E48" s="3">
        <v>12.14</v>
      </c>
      <c r="F48" s="3"/>
      <c r="G48" s="6"/>
    </row>
    <row r="49" spans="1:7" x14ac:dyDescent="0.25">
      <c r="A49" s="8">
        <v>45934</v>
      </c>
      <c r="B49" s="4" t="s">
        <v>23</v>
      </c>
      <c r="C49" s="5" t="s">
        <v>62</v>
      </c>
      <c r="D49" s="5" t="s">
        <v>84</v>
      </c>
      <c r="E49" s="3">
        <v>160</v>
      </c>
      <c r="F49" s="3"/>
      <c r="G49" s="6"/>
    </row>
    <row r="50" spans="1:7" x14ac:dyDescent="0.25">
      <c r="A50" s="8">
        <v>45908</v>
      </c>
      <c r="B50" s="4"/>
      <c r="C50" s="5"/>
      <c r="D50" s="5"/>
      <c r="E50" s="3"/>
      <c r="F50" s="3"/>
      <c r="G50" s="6"/>
    </row>
    <row r="51" spans="1:7" x14ac:dyDescent="0.25">
      <c r="A51" s="8"/>
      <c r="B51" s="4"/>
      <c r="C51" s="5"/>
      <c r="D51" s="5"/>
      <c r="E51" s="3"/>
      <c r="F51" s="3"/>
      <c r="G51" s="6"/>
    </row>
    <row r="52" spans="1:7" x14ac:dyDescent="0.25">
      <c r="A52" s="8"/>
      <c r="B52" s="4"/>
      <c r="C52" s="5"/>
      <c r="D52" s="5"/>
      <c r="E52" s="3"/>
      <c r="F52" s="3"/>
      <c r="G52" s="6"/>
    </row>
    <row r="53" spans="1:7" x14ac:dyDescent="0.25">
      <c r="A53" s="8"/>
      <c r="B53" s="4"/>
      <c r="C53" s="5"/>
      <c r="D53" s="5"/>
      <c r="E53" s="3"/>
      <c r="F53" s="3"/>
      <c r="G53" s="6"/>
    </row>
    <row r="54" spans="1:7" x14ac:dyDescent="0.25">
      <c r="A54" s="8"/>
      <c r="B54" s="4"/>
      <c r="C54" s="5"/>
      <c r="D54" s="5"/>
      <c r="E54" s="3"/>
      <c r="F54" s="3"/>
      <c r="G54" s="6"/>
    </row>
    <row r="55" spans="1:7" x14ac:dyDescent="0.25">
      <c r="A55" s="8"/>
      <c r="B55" s="4"/>
      <c r="C55" s="5"/>
      <c r="D55" s="5"/>
      <c r="E55" s="3"/>
      <c r="F55" s="3"/>
      <c r="G55" s="6"/>
    </row>
    <row r="56" spans="1:7" x14ac:dyDescent="0.25">
      <c r="A56" s="8"/>
      <c r="B56" s="4"/>
      <c r="C56" s="5"/>
      <c r="D56" s="5"/>
      <c r="E56" s="3"/>
      <c r="F56" s="3"/>
      <c r="G56" s="6"/>
    </row>
    <row r="57" spans="1:7" x14ac:dyDescent="0.25">
      <c r="A57" s="8"/>
      <c r="B57" s="4"/>
      <c r="C57" s="5"/>
      <c r="D57" s="5"/>
      <c r="E57" s="3"/>
      <c r="F57" s="3"/>
      <c r="G57" s="6"/>
    </row>
    <row r="58" spans="1:7" x14ac:dyDescent="0.25">
      <c r="A58" s="8"/>
      <c r="B58" s="4"/>
      <c r="C58" s="5"/>
      <c r="D58" s="5"/>
      <c r="E58" s="3"/>
      <c r="F58" s="3"/>
      <c r="G58" s="6"/>
    </row>
    <row r="59" spans="1:7" x14ac:dyDescent="0.25">
      <c r="A59" s="8"/>
      <c r="B59" s="4"/>
      <c r="C59" s="5"/>
      <c r="D59" s="5"/>
      <c r="E59" s="3"/>
      <c r="F59" s="3"/>
      <c r="G59" s="6"/>
    </row>
    <row r="60" spans="1:7" x14ac:dyDescent="0.25">
      <c r="A60" s="8"/>
      <c r="B60" s="4"/>
      <c r="C60" s="5"/>
      <c r="D60" s="5"/>
      <c r="E60" s="3"/>
      <c r="F60" s="3"/>
      <c r="G60" s="6"/>
    </row>
    <row r="61" spans="1:7" x14ac:dyDescent="0.25">
      <c r="A61" s="8"/>
      <c r="B61" s="4"/>
      <c r="C61" s="5"/>
      <c r="D61" s="5"/>
      <c r="E61" s="3"/>
      <c r="F61" s="3"/>
      <c r="G61" s="6"/>
    </row>
    <row r="62" spans="1:7" x14ac:dyDescent="0.25">
      <c r="A62" s="8"/>
      <c r="B62" s="4"/>
      <c r="C62" s="5"/>
      <c r="D62" s="5"/>
      <c r="E62" s="3"/>
      <c r="F62" s="3"/>
      <c r="G62" s="6"/>
    </row>
    <row r="63" spans="1:7" x14ac:dyDescent="0.25">
      <c r="A63" s="8"/>
      <c r="B63" s="4"/>
      <c r="C63" s="5"/>
      <c r="D63" s="5"/>
      <c r="E63" s="3"/>
      <c r="F63" s="3"/>
      <c r="G63" s="6"/>
    </row>
    <row r="64" spans="1:7" x14ac:dyDescent="0.25">
      <c r="A64" s="8"/>
      <c r="B64" s="4"/>
      <c r="C64" s="5"/>
      <c r="D64" s="5"/>
      <c r="E64" s="3"/>
      <c r="F64" s="3"/>
      <c r="G64" s="6"/>
    </row>
    <row r="65" spans="1:7" x14ac:dyDescent="0.25">
      <c r="A65" s="8"/>
      <c r="B65" s="4"/>
      <c r="C65" s="5"/>
      <c r="D65" s="5"/>
      <c r="E65" s="3"/>
      <c r="F65" s="3"/>
      <c r="G65" s="6"/>
    </row>
    <row r="66" spans="1:7" x14ac:dyDescent="0.25">
      <c r="A66" s="8"/>
      <c r="B66" s="4"/>
      <c r="C66" s="5"/>
      <c r="D66" s="5"/>
      <c r="E66" s="3"/>
      <c r="F66" s="3"/>
      <c r="G66" s="6"/>
    </row>
    <row r="67" spans="1:7" x14ac:dyDescent="0.25">
      <c r="A67" s="8"/>
      <c r="B67" s="4"/>
      <c r="C67" s="5"/>
      <c r="D67" s="5"/>
      <c r="E67" s="3"/>
      <c r="F67" s="3"/>
      <c r="G67" s="6"/>
    </row>
    <row r="68" spans="1:7" x14ac:dyDescent="0.25">
      <c r="A68" s="8"/>
      <c r="B68" s="4"/>
      <c r="C68" s="5"/>
      <c r="D68" s="5"/>
      <c r="E68" s="3"/>
      <c r="F68" s="3"/>
      <c r="G68" s="6"/>
    </row>
    <row r="69" spans="1:7" x14ac:dyDescent="0.25">
      <c r="A69" s="8"/>
      <c r="B69" s="4"/>
      <c r="C69" s="5"/>
      <c r="D69" s="5"/>
      <c r="E69" s="3"/>
      <c r="F69" s="3"/>
      <c r="G69" s="6"/>
    </row>
    <row r="70" spans="1:7" x14ac:dyDescent="0.25">
      <c r="A70" s="8"/>
      <c r="B70" s="4"/>
      <c r="C70" s="5"/>
      <c r="D70" s="5"/>
      <c r="E70" s="3"/>
      <c r="F70" s="3"/>
      <c r="G70" s="6"/>
    </row>
    <row r="71" spans="1:7" x14ac:dyDescent="0.25">
      <c r="A71" s="8"/>
      <c r="B71" s="4"/>
      <c r="C71" s="5"/>
      <c r="D71" s="5"/>
      <c r="E71" s="3"/>
      <c r="F71" s="3"/>
      <c r="G71" s="6"/>
    </row>
    <row r="72" spans="1:7" x14ac:dyDescent="0.25">
      <c r="A72" s="8"/>
      <c r="B72" s="4"/>
      <c r="C72" s="5"/>
      <c r="D72" s="5"/>
      <c r="E72" s="3"/>
      <c r="F72" s="3"/>
      <c r="G72" s="6"/>
    </row>
    <row r="73" spans="1:7" x14ac:dyDescent="0.25">
      <c r="A73" s="8"/>
      <c r="B73" s="4"/>
      <c r="C73" s="5"/>
      <c r="D73" s="5"/>
      <c r="E73" s="3"/>
      <c r="F73" s="3"/>
      <c r="G73" s="6"/>
    </row>
    <row r="74" spans="1:7" x14ac:dyDescent="0.25">
      <c r="A74" s="8"/>
      <c r="B74" s="4"/>
      <c r="C74" s="5"/>
      <c r="D74" s="5"/>
      <c r="E74" s="3"/>
      <c r="F74" s="3"/>
      <c r="G74" s="6"/>
    </row>
    <row r="75" spans="1:7" x14ac:dyDescent="0.25">
      <c r="A75" s="8"/>
      <c r="B75" s="4"/>
      <c r="C75" s="5"/>
      <c r="D75" s="5"/>
      <c r="E75" s="3"/>
      <c r="F75" s="3"/>
      <c r="G75" s="6"/>
    </row>
    <row r="76" spans="1:7" x14ac:dyDescent="0.25">
      <c r="A76" s="8"/>
      <c r="B76" s="4"/>
      <c r="C76" s="5"/>
      <c r="D76" s="5"/>
      <c r="E76" s="3"/>
      <c r="F76" s="3"/>
      <c r="G76" s="6"/>
    </row>
    <row r="77" spans="1:7" x14ac:dyDescent="0.25">
      <c r="A77" s="8"/>
      <c r="B77" s="4"/>
      <c r="C77" s="5"/>
      <c r="D77" s="5"/>
      <c r="E77" s="3"/>
      <c r="F77" s="3"/>
      <c r="G77" s="6"/>
    </row>
    <row r="78" spans="1:7" x14ac:dyDescent="0.25">
      <c r="A78" s="8"/>
      <c r="B78" s="4"/>
      <c r="C78" s="5"/>
      <c r="D78" s="5"/>
      <c r="E78" s="3"/>
      <c r="F78" s="3"/>
      <c r="G78" s="6"/>
    </row>
    <row r="79" spans="1:7" x14ac:dyDescent="0.25">
      <c r="A79" s="8"/>
      <c r="B79" s="4"/>
      <c r="C79" s="5"/>
      <c r="D79" s="5"/>
      <c r="E79" s="3"/>
      <c r="F79" s="3"/>
      <c r="G79" s="6"/>
    </row>
    <row r="80" spans="1:7" x14ac:dyDescent="0.25">
      <c r="A80" s="8"/>
      <c r="B80" s="4"/>
      <c r="C80" s="5"/>
      <c r="D80" s="5"/>
      <c r="E80" s="3"/>
      <c r="F80" s="3"/>
      <c r="G80" s="6"/>
    </row>
    <row r="81" spans="1:7" x14ac:dyDescent="0.25">
      <c r="A81" s="8"/>
      <c r="B81" s="4"/>
      <c r="C81" s="5"/>
      <c r="D81" s="5"/>
      <c r="E81" s="3"/>
      <c r="F81" s="3"/>
      <c r="G81" s="6"/>
    </row>
    <row r="82" spans="1:7" x14ac:dyDescent="0.25">
      <c r="A82" s="8"/>
      <c r="B82" s="4"/>
      <c r="C82" s="5"/>
      <c r="D82" s="5"/>
      <c r="E82" s="3"/>
      <c r="F82" s="3"/>
      <c r="G82" s="6"/>
    </row>
    <row r="83" spans="1:7" x14ac:dyDescent="0.25">
      <c r="A83" s="8"/>
      <c r="B83" s="4"/>
      <c r="C83" s="5"/>
      <c r="D83" s="5"/>
      <c r="E83" s="3"/>
      <c r="F83" s="3"/>
      <c r="G83" s="6"/>
    </row>
    <row r="84" spans="1:7" x14ac:dyDescent="0.25">
      <c r="A84" s="8"/>
      <c r="B84" s="4"/>
      <c r="C84" s="5"/>
      <c r="D84" s="5"/>
      <c r="E84" s="3"/>
      <c r="F84" s="3"/>
      <c r="G84" s="6"/>
    </row>
    <row r="85" spans="1:7" x14ac:dyDescent="0.25">
      <c r="A85" s="8"/>
      <c r="B85" s="4"/>
      <c r="C85" s="5"/>
      <c r="D85" s="5"/>
      <c r="E85" s="3"/>
      <c r="F85" s="3"/>
      <c r="G85" s="6"/>
    </row>
    <row r="86" spans="1:7" x14ac:dyDescent="0.25">
      <c r="A86" s="8"/>
      <c r="B86" s="4"/>
      <c r="C86" s="5"/>
      <c r="D86" s="5"/>
      <c r="E86" s="3"/>
      <c r="F86" s="3"/>
      <c r="G86" s="6"/>
    </row>
    <row r="87" spans="1:7" x14ac:dyDescent="0.25">
      <c r="A87" s="8"/>
      <c r="B87" s="4"/>
      <c r="C87" s="5"/>
      <c r="D87" s="5"/>
      <c r="E87" s="3"/>
      <c r="F87" s="3"/>
      <c r="G87" s="6"/>
    </row>
    <row r="88" spans="1:7" x14ac:dyDescent="0.25">
      <c r="A88" s="8"/>
      <c r="B88" s="4"/>
      <c r="C88" s="5"/>
      <c r="D88" s="5"/>
      <c r="E88" s="3"/>
      <c r="F88" s="3"/>
      <c r="G88" s="6"/>
    </row>
    <row r="89" spans="1:7" x14ac:dyDescent="0.25">
      <c r="A89" s="8"/>
      <c r="B89" s="4"/>
      <c r="C89" s="5"/>
      <c r="D89" s="5"/>
      <c r="E89" s="3"/>
      <c r="F89" s="3"/>
      <c r="G89" s="6"/>
    </row>
    <row r="90" spans="1:7" x14ac:dyDescent="0.25">
      <c r="A90" s="8"/>
      <c r="B90" s="4"/>
      <c r="C90" s="5"/>
      <c r="D90" s="5"/>
      <c r="E90" s="3"/>
      <c r="F90" s="3"/>
      <c r="G90" s="6"/>
    </row>
    <row r="91" spans="1:7" x14ac:dyDescent="0.25">
      <c r="A91" s="8"/>
      <c r="B91" s="4"/>
      <c r="C91" s="5"/>
      <c r="D91" s="5"/>
      <c r="E91" s="3"/>
      <c r="F91" s="3"/>
      <c r="G91" s="6"/>
    </row>
    <row r="92" spans="1:7" x14ac:dyDescent="0.25">
      <c r="A92" s="8"/>
      <c r="B92" s="4"/>
      <c r="C92" s="5"/>
      <c r="D92" s="5"/>
      <c r="E92" s="3"/>
      <c r="F92" s="3"/>
      <c r="G92" s="6"/>
    </row>
    <row r="93" spans="1:7" x14ac:dyDescent="0.25">
      <c r="A93" s="8"/>
      <c r="B93" s="4"/>
      <c r="C93" s="5"/>
      <c r="D93" s="5"/>
      <c r="E93" s="3"/>
      <c r="F93" s="3"/>
      <c r="G93" s="6"/>
    </row>
    <row r="94" spans="1:7" x14ac:dyDescent="0.25">
      <c r="A94" s="8"/>
      <c r="B94" s="4"/>
      <c r="C94" s="5"/>
      <c r="D94" s="5"/>
      <c r="E94" s="3"/>
      <c r="F94" s="3"/>
      <c r="G94" s="6"/>
    </row>
    <row r="95" spans="1:7" x14ac:dyDescent="0.25">
      <c r="A95" s="8"/>
      <c r="B95" s="4"/>
      <c r="C95" s="5"/>
      <c r="D95" s="5"/>
      <c r="E95" s="3"/>
      <c r="F95" s="3"/>
      <c r="G95" s="6"/>
    </row>
    <row r="96" spans="1:7" x14ac:dyDescent="0.25">
      <c r="A96" s="8"/>
      <c r="B96" s="4"/>
      <c r="C96" s="5"/>
      <c r="D96" s="5"/>
      <c r="E96" s="3"/>
      <c r="F96" s="3"/>
      <c r="G96" s="6"/>
    </row>
    <row r="97" spans="1:7" x14ac:dyDescent="0.25">
      <c r="A97" s="8"/>
      <c r="B97" s="4"/>
      <c r="C97" s="5"/>
      <c r="D97" s="5"/>
      <c r="E97" s="3"/>
      <c r="F97" s="3"/>
      <c r="G97" s="6"/>
    </row>
    <row r="98" spans="1:7" x14ac:dyDescent="0.25">
      <c r="A98" s="8"/>
      <c r="B98" s="4"/>
      <c r="C98" s="5"/>
      <c r="D98" s="5"/>
      <c r="E98" s="3"/>
      <c r="F98" s="3"/>
      <c r="G98" s="6"/>
    </row>
    <row r="99" spans="1:7" x14ac:dyDescent="0.25">
      <c r="A99" s="8"/>
      <c r="B99" s="4"/>
      <c r="C99" s="5"/>
      <c r="D99" s="5"/>
      <c r="E99" s="3"/>
      <c r="F99" s="3"/>
      <c r="G99" s="6"/>
    </row>
    <row r="100" spans="1:7" x14ac:dyDescent="0.25">
      <c r="A100" s="8"/>
      <c r="B100" s="4"/>
      <c r="C100" s="5"/>
      <c r="D100" s="5"/>
      <c r="E100" s="3"/>
      <c r="F100" s="3"/>
      <c r="G100" s="6"/>
    </row>
    <row r="101" spans="1:7" x14ac:dyDescent="0.25">
      <c r="A101" s="8"/>
      <c r="B101" s="4"/>
      <c r="C101" s="5"/>
      <c r="D101" s="5"/>
      <c r="E101" s="3"/>
      <c r="F101" s="3"/>
      <c r="G101" s="6"/>
    </row>
    <row r="102" spans="1:7" x14ac:dyDescent="0.25">
      <c r="A102" s="8"/>
      <c r="B102" s="4"/>
      <c r="C102" s="5"/>
      <c r="D102" s="5"/>
      <c r="E102" s="3"/>
      <c r="F102" s="3"/>
      <c r="G102" s="6"/>
    </row>
    <row r="103" spans="1:7" x14ac:dyDescent="0.25">
      <c r="A103" s="8"/>
      <c r="B103" s="4"/>
      <c r="C103" s="5"/>
      <c r="D103" s="5"/>
      <c r="E103" s="3"/>
      <c r="F103" s="3"/>
      <c r="G103" s="6"/>
    </row>
    <row r="104" spans="1:7" x14ac:dyDescent="0.25">
      <c r="A104" s="8"/>
      <c r="B104" s="4"/>
      <c r="C104" s="5"/>
      <c r="D104" s="5"/>
      <c r="E104" s="3"/>
      <c r="F104" s="3"/>
      <c r="G104" s="6"/>
    </row>
    <row r="105" spans="1:7" x14ac:dyDescent="0.25">
      <c r="A105" s="8"/>
      <c r="B105" s="4"/>
      <c r="C105" s="5"/>
      <c r="D105" s="5"/>
      <c r="E105" s="3"/>
      <c r="F105" s="3"/>
      <c r="G105" s="6"/>
    </row>
    <row r="106" spans="1:7" x14ac:dyDescent="0.25">
      <c r="A106" s="8"/>
      <c r="B106" s="4"/>
      <c r="C106" s="5"/>
      <c r="D106" s="5"/>
      <c r="E106" s="3"/>
      <c r="F106" s="3"/>
      <c r="G106" s="6"/>
    </row>
    <row r="107" spans="1:7" x14ac:dyDescent="0.25">
      <c r="A107" s="8"/>
      <c r="B107" s="4"/>
      <c r="C107" s="5"/>
      <c r="D107" s="5"/>
      <c r="E107" s="3"/>
      <c r="F107" s="3"/>
      <c r="G107" s="6"/>
    </row>
    <row r="108" spans="1:7" x14ac:dyDescent="0.25">
      <c r="A108" s="8"/>
      <c r="B108" s="4"/>
      <c r="C108" s="5"/>
      <c r="D108" s="5"/>
      <c r="E108" s="3"/>
      <c r="F108" s="3"/>
      <c r="G108" s="6"/>
    </row>
    <row r="109" spans="1:7" x14ac:dyDescent="0.25">
      <c r="A109" s="8"/>
      <c r="B109" s="4"/>
      <c r="C109" s="5"/>
      <c r="D109" s="5"/>
      <c r="E109" s="3"/>
      <c r="F109" s="3"/>
      <c r="G109" s="6"/>
    </row>
    <row r="110" spans="1:7" x14ac:dyDescent="0.25">
      <c r="A110" s="8"/>
      <c r="B110" s="4"/>
      <c r="C110" s="5"/>
      <c r="D110" s="5"/>
      <c r="E110" s="3"/>
      <c r="F110" s="3"/>
      <c r="G110" s="6"/>
    </row>
    <row r="111" spans="1:7" x14ac:dyDescent="0.25">
      <c r="A111" s="8"/>
      <c r="B111" s="4"/>
      <c r="C111" s="5"/>
      <c r="D111" s="5"/>
      <c r="E111" s="3"/>
      <c r="F111" s="3"/>
      <c r="G111" s="6"/>
    </row>
    <row r="112" spans="1:7" x14ac:dyDescent="0.25">
      <c r="A112" s="8"/>
      <c r="B112" s="4"/>
      <c r="C112" s="5"/>
      <c r="D112" s="5"/>
      <c r="E112" s="3"/>
      <c r="F112" s="3"/>
      <c r="G112" s="6"/>
    </row>
    <row r="113" spans="1:10" x14ac:dyDescent="0.25">
      <c r="A113" s="8"/>
      <c r="B113" s="4"/>
      <c r="C113" s="5"/>
      <c r="D113" s="5"/>
      <c r="E113" s="3"/>
      <c r="F113" s="3"/>
      <c r="G113" s="6"/>
    </row>
    <row r="114" spans="1:10" x14ac:dyDescent="0.25">
      <c r="A114" s="8"/>
      <c r="B114" s="4"/>
      <c r="C114" s="5"/>
      <c r="D114" s="5"/>
      <c r="E114" s="3"/>
      <c r="F114" s="3"/>
      <c r="G114" s="6"/>
    </row>
    <row r="115" spans="1:10" x14ac:dyDescent="0.25">
      <c r="A115" s="42" t="s">
        <v>21</v>
      </c>
      <c r="B115" s="43"/>
      <c r="C115" s="2"/>
      <c r="D115" s="2"/>
      <c r="E115" s="38">
        <f>SUM(E2:E114)</f>
        <v>2231.46</v>
      </c>
      <c r="F115" s="38">
        <f>SUM(F2:F114)</f>
        <v>207.12</v>
      </c>
      <c r="G115" s="44">
        <f>SUM(G5:G114)</f>
        <v>0</v>
      </c>
    </row>
    <row r="116" spans="1:10" x14ac:dyDescent="0.25">
      <c r="A116" s="45" t="s">
        <v>17</v>
      </c>
      <c r="B116" s="46"/>
      <c r="C116" s="51">
        <f>SUMIF(B2:B114,"Capitol One",F2:F114)</f>
        <v>207.12</v>
      </c>
      <c r="D116" s="2"/>
      <c r="E116" s="2"/>
      <c r="F116" s="2"/>
      <c r="G116" s="9"/>
    </row>
    <row r="117" spans="1:10" x14ac:dyDescent="0.25">
      <c r="A117" s="42" t="s">
        <v>18</v>
      </c>
      <c r="B117" s="43"/>
      <c r="C117" s="38">
        <f>SUMIF(B2:B114,"Sam's Club",F2:F114)</f>
        <v>0</v>
      </c>
      <c r="D117" s="2"/>
      <c r="E117" s="2"/>
      <c r="F117" s="2"/>
      <c r="G117" s="9"/>
      <c r="J117" s="29"/>
    </row>
    <row r="118" spans="1:10" x14ac:dyDescent="0.25">
      <c r="A118" s="42" t="s">
        <v>90</v>
      </c>
      <c r="B118" s="43"/>
      <c r="C118" s="51">
        <f>SUMIF(B2:B114,"Discover",F2:F114)</f>
        <v>0</v>
      </c>
      <c r="D118" s="17"/>
      <c r="E118" s="17"/>
      <c r="F118" s="17"/>
      <c r="G118" s="13"/>
    </row>
    <row r="119" spans="1:10" x14ac:dyDescent="0.25">
      <c r="A119" s="42" t="s">
        <v>91</v>
      </c>
      <c r="B119" s="43"/>
      <c r="C119" s="38">
        <f>SUMIF($B2:B114,"Discover",$E2:E114)+SUMIF($B2:B114,"Discover",$G2:G114)-C118</f>
        <v>0</v>
      </c>
      <c r="D119" s="2"/>
      <c r="E119" s="2"/>
      <c r="F119" s="2"/>
      <c r="G119" s="9"/>
    </row>
    <row r="120" spans="1:10" x14ac:dyDescent="0.25">
      <c r="A120" s="45" t="s">
        <v>19</v>
      </c>
      <c r="B120" s="46"/>
      <c r="C120" s="38">
        <f>SUMIF($B2:B114,"Capitol One",$E2:E114)+SUMIF($B2:B114,"Capitol One",$G2:G114)-C116</f>
        <v>2024.3400000000001</v>
      </c>
      <c r="D120" s="2"/>
      <c r="E120" s="2"/>
      <c r="F120" s="2"/>
      <c r="G120" s="9"/>
    </row>
    <row r="121" spans="1:10" ht="15.75" thickBot="1" x14ac:dyDescent="0.3">
      <c r="A121" s="47" t="s">
        <v>20</v>
      </c>
      <c r="B121" s="48"/>
      <c r="C121" s="49">
        <f>SUMIF($B2:B114,"Sam's Club",$E2:E114)+SUMIF($B2:B114,"Sam's Club",$G2:G114)-C117</f>
        <v>0</v>
      </c>
      <c r="D121" s="10"/>
      <c r="E121" s="10"/>
      <c r="F121" s="10"/>
      <c r="G121" s="11"/>
    </row>
  </sheetData>
  <autoFilter ref="A1:G1" xr:uid="{55C6C991-3FFE-4866-967D-4139DF94C020}">
    <sortState xmlns:xlrd2="http://schemas.microsoft.com/office/spreadsheetml/2017/richdata2" ref="A2:G82">
      <sortCondition ref="B1"/>
    </sortState>
  </autoFilter>
  <dataConsolidate/>
  <mergeCells count="7">
    <mergeCell ref="A121:B121"/>
    <mergeCell ref="A115:B115"/>
    <mergeCell ref="A116:B116"/>
    <mergeCell ref="A117:B117"/>
    <mergeCell ref="A118:B118"/>
    <mergeCell ref="A119:B119"/>
    <mergeCell ref="A120:B120"/>
  </mergeCells>
  <dataValidations count="12">
    <dataValidation type="date" allowBlank="1" showInputMessage="1" showErrorMessage="1" sqref="A66:A67 A81 A97:A98 A112" xr:uid="{BE9C8F9A-D3E9-4DEC-8E65-37F9C2C4CBC0}">
      <formula1>A66</formula1>
      <formula2>A128</formula2>
    </dataValidation>
    <dataValidation type="date" allowBlank="1" showInputMessage="1" showErrorMessage="1" sqref="A75:A80 A60:A65 A106:A111 A91:A96" xr:uid="{E66E7A66-018F-413F-B6EE-067A0310C6B6}">
      <formula1>A60</formula1>
      <formula2>A126</formula2>
    </dataValidation>
    <dataValidation type="date" allowBlank="1" showInputMessage="1" showErrorMessage="1" sqref="A22:A27" xr:uid="{B83BE9EB-EBE5-459E-B14F-617AC819936C}">
      <formula1>A22</formula1>
      <formula2>A139</formula2>
    </dataValidation>
    <dataValidation type="date" allowBlank="1" showInputMessage="1" showErrorMessage="1" sqref="A2:A21" xr:uid="{F201EF90-849B-486C-B397-B99B01A127CC}">
      <formula1>A2</formula1>
      <formula2>A118</formula2>
    </dataValidation>
    <dataValidation type="date" allowBlank="1" showInputMessage="1" showErrorMessage="1" sqref="A30:A42" xr:uid="{4966CFDF-9B6C-46C4-88C4-19C5CC389681}">
      <formula1>A30</formula1>
      <formula2>A140</formula2>
    </dataValidation>
    <dataValidation type="date" allowBlank="1" showInputMessage="1" showErrorMessage="1" sqref="A28:A29" xr:uid="{0ABCDBE2-F10A-4F23-86AA-051A529B335A}">
      <formula1>A28</formula1>
      <formula2>A139</formula2>
    </dataValidation>
    <dataValidation type="date" allowBlank="1" showInputMessage="1" showErrorMessage="1" sqref="A43:A52 A82:A83" xr:uid="{4DE40D35-E28B-419C-AE42-310C76778EB7}">
      <formula1>A43</formula1>
      <formula2>A145</formula2>
    </dataValidation>
    <dataValidation type="date" allowBlank="1" showInputMessage="1" showErrorMessage="1" sqref="A68:A74 A53:A59 A99:A105 A84:A90" xr:uid="{3D872875-D829-4A6E-A445-AE68F735D906}">
      <formula1>A53</formula1>
      <formula2>A140</formula2>
    </dataValidation>
    <dataValidation type="list" allowBlank="1" showInputMessage="1" showErrorMessage="1" sqref="C2:C114" xr:uid="{08FC5EC9-95D7-4A8D-9E72-EBCC91D53C6E}">
      <formula1>StoresDescription</formula1>
    </dataValidation>
    <dataValidation type="list" allowBlank="1" showInputMessage="1" showErrorMessage="1" sqref="D2:D114" xr:uid="{9052A47A-066C-4168-B484-93AB31DBD08F}">
      <formula1>ItemsDescription</formula1>
    </dataValidation>
    <dataValidation type="list" allowBlank="1" showInputMessage="1" showErrorMessage="1" sqref="B2:B114" xr:uid="{841B4AE7-5C39-4A37-9E3E-08E106B76536}">
      <formula1>CCUsed</formula1>
    </dataValidation>
    <dataValidation type="date" allowBlank="1" showInputMessage="1" showErrorMessage="1" sqref="A113:A114" xr:uid="{6EE573E4-E457-45F3-A786-4DBC108F0E0F}">
      <formula1>A113</formula1>
      <formula2>A144</formula2>
    </dataValidation>
  </dataValidations>
  <pageMargins left="0.7" right="0.7" top="0.75" bottom="0.75" header="0.3" footer="0.3"/>
  <pageSetup paperSize="3"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BA31-AF7F-4A45-B8E5-6235EADB2556}">
  <sheetPr codeName="Sheet11">
    <pageSetUpPr fitToPage="1"/>
  </sheetPr>
  <dimension ref="A1:J83"/>
  <sheetViews>
    <sheetView zoomScaleNormal="100" zoomScaleSheetLayoutView="62" workbookViewId="0">
      <pane ySplit="1" topLeftCell="A2" activePane="bottomLeft" state="frozen"/>
      <selection activeCell="C4" sqref="C4"/>
      <selection pane="bottomLeft"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4.5703125" bestFit="1" customWidth="1"/>
    <col min="4" max="4" width="20.140625" bestFit="1" customWidth="1"/>
    <col min="5" max="5" width="10.5703125" bestFit="1" customWidth="1"/>
    <col min="6" max="6" width="9.85546875" bestFit="1" customWidth="1"/>
    <col min="7" max="7" width="8.7109375" bestFit="1" customWidth="1"/>
    <col min="8" max="8" width="8.5703125" customWidth="1"/>
    <col min="9" max="9" width="20.28515625" bestFit="1" customWidth="1"/>
    <col min="10" max="10" width="9.7109375" bestFit="1" customWidth="1"/>
  </cols>
  <sheetData>
    <row r="1" spans="1:10" x14ac:dyDescent="0.25">
      <c r="A1" s="31" t="s">
        <v>0</v>
      </c>
      <c r="B1" s="32" t="s">
        <v>24</v>
      </c>
      <c r="C1" s="33" t="s">
        <v>1</v>
      </c>
      <c r="D1" s="33" t="s">
        <v>2</v>
      </c>
      <c r="E1" s="33" t="s">
        <v>25</v>
      </c>
      <c r="F1" s="33" t="s">
        <v>26</v>
      </c>
      <c r="G1" s="34" t="s">
        <v>30</v>
      </c>
    </row>
    <row r="2" spans="1:10" x14ac:dyDescent="0.25">
      <c r="A2" s="8"/>
      <c r="B2" s="4"/>
      <c r="C2" s="5"/>
      <c r="D2" s="5"/>
      <c r="E2" s="3"/>
      <c r="F2" s="3"/>
      <c r="G2" s="14"/>
    </row>
    <row r="3" spans="1:10" x14ac:dyDescent="0.25">
      <c r="A3" s="8"/>
      <c r="B3" s="4"/>
      <c r="C3" s="5"/>
      <c r="D3" s="5"/>
      <c r="E3" s="3"/>
      <c r="F3" s="3"/>
      <c r="G3" s="6"/>
    </row>
    <row r="4" spans="1:10" x14ac:dyDescent="0.25">
      <c r="A4" s="8"/>
      <c r="B4" s="4"/>
      <c r="C4" s="5"/>
      <c r="D4" s="5"/>
      <c r="E4" s="3"/>
      <c r="F4" s="3"/>
      <c r="G4" s="6"/>
    </row>
    <row r="5" spans="1:10" x14ac:dyDescent="0.25">
      <c r="A5" s="8"/>
      <c r="B5" s="4"/>
      <c r="C5" s="5"/>
      <c r="D5" s="5"/>
      <c r="E5" s="3"/>
      <c r="F5" s="3"/>
      <c r="G5" s="6"/>
      <c r="I5" s="39" t="s">
        <v>81</v>
      </c>
      <c r="J5" s="38">
        <f t="shared" ref="J5:J11" si="0">SUMIF($D$2:$D$76,I5,$E$2:$E$76)-SUMIF($D$2:$D$76,I5,$F$2:$F$76)</f>
        <v>0</v>
      </c>
    </row>
    <row r="6" spans="1:10" x14ac:dyDescent="0.25">
      <c r="A6" s="8"/>
      <c r="B6" s="4"/>
      <c r="C6" s="5"/>
      <c r="D6" s="5"/>
      <c r="E6" s="3"/>
      <c r="F6" s="3"/>
      <c r="G6" s="6"/>
      <c r="I6" s="39" t="s">
        <v>5</v>
      </c>
      <c r="J6" s="38">
        <f t="shared" si="0"/>
        <v>0</v>
      </c>
    </row>
    <row r="7" spans="1:10" x14ac:dyDescent="0.25">
      <c r="A7" s="8"/>
      <c r="B7" s="4"/>
      <c r="C7" s="5"/>
      <c r="D7" s="5"/>
      <c r="E7" s="3"/>
      <c r="F7" s="3"/>
      <c r="G7" s="6"/>
      <c r="I7" s="39" t="s">
        <v>6</v>
      </c>
      <c r="J7" s="38">
        <f t="shared" si="0"/>
        <v>0</v>
      </c>
    </row>
    <row r="8" spans="1:10" x14ac:dyDescent="0.25">
      <c r="A8" s="8"/>
      <c r="B8" s="4"/>
      <c r="C8" s="5"/>
      <c r="D8" s="5"/>
      <c r="E8" s="3"/>
      <c r="F8" s="3"/>
      <c r="G8" s="6"/>
      <c r="I8" s="39" t="s">
        <v>15</v>
      </c>
      <c r="J8" s="38">
        <f t="shared" si="0"/>
        <v>0</v>
      </c>
    </row>
    <row r="9" spans="1:10" x14ac:dyDescent="0.25">
      <c r="A9" s="8"/>
      <c r="B9" s="4"/>
      <c r="C9" s="5"/>
      <c r="D9" s="5"/>
      <c r="E9" s="3"/>
      <c r="F9" s="3"/>
      <c r="G9" s="6"/>
      <c r="I9" s="39" t="s">
        <v>3</v>
      </c>
      <c r="J9" s="38">
        <f t="shared" si="0"/>
        <v>0</v>
      </c>
    </row>
    <row r="10" spans="1:10" x14ac:dyDescent="0.25">
      <c r="A10" s="8"/>
      <c r="B10" s="4"/>
      <c r="C10" s="5"/>
      <c r="D10" s="5"/>
      <c r="E10" s="3"/>
      <c r="F10" s="3"/>
      <c r="G10" s="6"/>
      <c r="I10" s="39" t="s">
        <v>4</v>
      </c>
      <c r="J10" s="38">
        <f t="shared" si="0"/>
        <v>0</v>
      </c>
    </row>
    <row r="11" spans="1:10" x14ac:dyDescent="0.25">
      <c r="A11" s="8"/>
      <c r="B11" s="4"/>
      <c r="C11" s="5"/>
      <c r="D11" s="5"/>
      <c r="E11" s="3"/>
      <c r="F11" s="3"/>
      <c r="G11" s="6"/>
      <c r="I11" s="39" t="s">
        <v>84</v>
      </c>
      <c r="J11" s="38">
        <f t="shared" si="0"/>
        <v>0</v>
      </c>
    </row>
    <row r="12" spans="1:10" x14ac:dyDescent="0.25">
      <c r="A12" s="8"/>
      <c r="B12" s="4"/>
      <c r="C12" s="5"/>
      <c r="D12" s="5"/>
      <c r="E12" s="3"/>
      <c r="F12" s="3"/>
      <c r="G12" s="6"/>
      <c r="I12" s="39" t="s">
        <v>30</v>
      </c>
      <c r="J12" s="38">
        <f>SUMIF($D$2:$D$76,I12,$G$2:$G$76)-SUMIF($D$2:$D$76,I12,$F$2:$F$76)</f>
        <v>0</v>
      </c>
    </row>
    <row r="13" spans="1:10" x14ac:dyDescent="0.25">
      <c r="A13" s="8"/>
      <c r="B13" s="4"/>
      <c r="C13" s="5"/>
      <c r="D13" s="5"/>
      <c r="E13" s="3"/>
      <c r="F13" s="3"/>
      <c r="G13" s="6"/>
    </row>
    <row r="14" spans="1:10" x14ac:dyDescent="0.25">
      <c r="A14" s="8"/>
      <c r="B14" s="4"/>
      <c r="C14" s="5"/>
      <c r="D14" s="5"/>
      <c r="E14" s="3"/>
      <c r="F14" s="3"/>
      <c r="G14" s="9"/>
    </row>
    <row r="15" spans="1:10" x14ac:dyDescent="0.25">
      <c r="A15" s="8"/>
      <c r="B15" s="4"/>
      <c r="C15" s="5"/>
      <c r="D15" s="5"/>
      <c r="E15" s="3"/>
      <c r="F15" s="3"/>
      <c r="G15" s="6"/>
    </row>
    <row r="16" spans="1:10" x14ac:dyDescent="0.25">
      <c r="A16" s="8"/>
      <c r="B16" s="4"/>
      <c r="C16" s="5"/>
      <c r="D16" s="5"/>
      <c r="E16" s="3"/>
      <c r="F16" s="3"/>
      <c r="G16" s="6"/>
    </row>
    <row r="17" spans="1:7" x14ac:dyDescent="0.25">
      <c r="A17" s="8"/>
      <c r="B17" s="4"/>
      <c r="C17" s="5"/>
      <c r="D17" s="5"/>
      <c r="E17" s="3"/>
      <c r="F17" s="3"/>
      <c r="G17" s="6"/>
    </row>
    <row r="18" spans="1:7" x14ac:dyDescent="0.25">
      <c r="A18" s="8"/>
      <c r="B18" s="4"/>
      <c r="C18" s="5"/>
      <c r="D18" s="5"/>
      <c r="E18" s="3"/>
      <c r="F18" s="3"/>
      <c r="G18" s="6"/>
    </row>
    <row r="19" spans="1:7" x14ac:dyDescent="0.25">
      <c r="A19" s="8"/>
      <c r="B19" s="4"/>
      <c r="C19" s="5"/>
      <c r="D19" s="5"/>
      <c r="E19" s="3"/>
      <c r="F19" s="3"/>
      <c r="G19" s="6"/>
    </row>
    <row r="20" spans="1:7" x14ac:dyDescent="0.25">
      <c r="A20" s="8"/>
      <c r="B20" s="4"/>
      <c r="C20" s="5"/>
      <c r="D20" s="5"/>
      <c r="E20" s="3"/>
      <c r="F20" s="3"/>
      <c r="G20" s="6"/>
    </row>
    <row r="21" spans="1:7" x14ac:dyDescent="0.25">
      <c r="A21" s="8"/>
      <c r="B21" s="4"/>
      <c r="C21" s="5"/>
      <c r="D21" s="5"/>
      <c r="E21" s="3"/>
      <c r="F21" s="3"/>
      <c r="G21" s="6"/>
    </row>
    <row r="22" spans="1:7" x14ac:dyDescent="0.25">
      <c r="A22" s="8"/>
      <c r="B22" s="4"/>
      <c r="C22" s="5"/>
      <c r="D22" s="5"/>
      <c r="E22" s="3"/>
      <c r="F22" s="3"/>
      <c r="G22" s="6"/>
    </row>
    <row r="23" spans="1:7" x14ac:dyDescent="0.25">
      <c r="A23" s="8"/>
      <c r="B23" s="4"/>
      <c r="C23" s="5"/>
      <c r="D23" s="5"/>
      <c r="E23" s="3"/>
      <c r="F23" s="3"/>
      <c r="G23" s="6"/>
    </row>
    <row r="24" spans="1:7" x14ac:dyDescent="0.25">
      <c r="A24" s="8"/>
      <c r="B24" s="4"/>
      <c r="C24" s="5"/>
      <c r="D24" s="5"/>
      <c r="E24" s="3"/>
      <c r="F24" s="3"/>
      <c r="G24" s="6"/>
    </row>
    <row r="25" spans="1:7" x14ac:dyDescent="0.25">
      <c r="A25" s="8"/>
      <c r="B25" s="4"/>
      <c r="C25" s="5"/>
      <c r="D25" s="5"/>
      <c r="E25" s="3"/>
      <c r="F25" s="3"/>
      <c r="G25" s="6"/>
    </row>
    <row r="26" spans="1:7" x14ac:dyDescent="0.25">
      <c r="A26" s="8"/>
      <c r="B26" s="4"/>
      <c r="C26" s="5"/>
      <c r="D26" s="5"/>
      <c r="E26" s="3"/>
      <c r="F26" s="3"/>
      <c r="G26" s="6"/>
    </row>
    <row r="27" spans="1:7" x14ac:dyDescent="0.25">
      <c r="A27" s="8"/>
      <c r="B27" s="7"/>
      <c r="C27" s="5"/>
      <c r="D27" s="5"/>
      <c r="E27" s="3"/>
      <c r="F27" s="3"/>
      <c r="G27" s="6"/>
    </row>
    <row r="28" spans="1:7" x14ac:dyDescent="0.25">
      <c r="A28" s="8"/>
      <c r="B28" s="4"/>
      <c r="C28" s="5"/>
      <c r="D28" s="5"/>
      <c r="E28" s="3"/>
      <c r="F28" s="3"/>
      <c r="G28" s="6"/>
    </row>
    <row r="29" spans="1:7" x14ac:dyDescent="0.25">
      <c r="A29" s="8"/>
      <c r="B29" s="7"/>
      <c r="C29" s="5"/>
      <c r="D29" s="5"/>
      <c r="E29" s="3"/>
      <c r="F29" s="3"/>
      <c r="G29" s="6"/>
    </row>
    <row r="30" spans="1:7" x14ac:dyDescent="0.25">
      <c r="A30" s="8"/>
      <c r="B30" s="4"/>
      <c r="C30" s="5"/>
      <c r="D30" s="5"/>
      <c r="E30" s="3"/>
      <c r="F30" s="3"/>
      <c r="G30" s="6"/>
    </row>
    <row r="31" spans="1:7" x14ac:dyDescent="0.25">
      <c r="A31" s="8"/>
      <c r="B31" s="4"/>
      <c r="C31" s="5"/>
      <c r="D31" s="5"/>
      <c r="E31" s="3"/>
      <c r="F31" s="3"/>
      <c r="G31" s="6"/>
    </row>
    <row r="32" spans="1:7" x14ac:dyDescent="0.25">
      <c r="A32" s="8"/>
      <c r="B32" s="4"/>
      <c r="C32" s="5"/>
      <c r="D32" s="5"/>
      <c r="E32" s="3"/>
      <c r="F32" s="3"/>
      <c r="G32" s="6"/>
    </row>
    <row r="33" spans="1:7" x14ac:dyDescent="0.25">
      <c r="A33" s="8"/>
      <c r="B33" s="4"/>
      <c r="C33" s="5"/>
      <c r="D33" s="5"/>
      <c r="E33" s="3"/>
      <c r="F33" s="3"/>
      <c r="G33" s="6"/>
    </row>
    <row r="34" spans="1:7" x14ac:dyDescent="0.25">
      <c r="A34" s="8"/>
      <c r="B34" s="4"/>
      <c r="C34" s="5"/>
      <c r="D34" s="5"/>
      <c r="E34" s="3"/>
      <c r="F34" s="3"/>
      <c r="G34" s="6"/>
    </row>
    <row r="35" spans="1:7" x14ac:dyDescent="0.25">
      <c r="A35" s="8"/>
      <c r="B35" s="4"/>
      <c r="C35" s="5"/>
      <c r="D35" s="5"/>
      <c r="E35" s="3"/>
      <c r="F35" s="3"/>
      <c r="G35" s="6"/>
    </row>
    <row r="36" spans="1:7" x14ac:dyDescent="0.25">
      <c r="A36" s="8"/>
      <c r="B36" s="4"/>
      <c r="C36" s="5"/>
      <c r="D36" s="5"/>
      <c r="E36" s="3"/>
      <c r="F36" s="3"/>
      <c r="G36" s="6"/>
    </row>
    <row r="37" spans="1:7" x14ac:dyDescent="0.25">
      <c r="A37" s="8"/>
      <c r="B37" s="4"/>
      <c r="C37" s="5"/>
      <c r="D37" s="5"/>
      <c r="E37" s="3"/>
      <c r="F37" s="3"/>
      <c r="G37" s="6"/>
    </row>
    <row r="38" spans="1:7" x14ac:dyDescent="0.25">
      <c r="A38" s="8"/>
      <c r="B38" s="4"/>
      <c r="C38" s="5"/>
      <c r="D38" s="5"/>
      <c r="E38" s="3"/>
      <c r="F38" s="3"/>
      <c r="G38" s="6"/>
    </row>
    <row r="39" spans="1:7" x14ac:dyDescent="0.25">
      <c r="A39" s="8"/>
      <c r="B39" s="4"/>
      <c r="C39" s="5"/>
      <c r="D39" s="5"/>
      <c r="E39" s="3"/>
      <c r="F39" s="3"/>
      <c r="G39" s="6"/>
    </row>
    <row r="40" spans="1:7" x14ac:dyDescent="0.25">
      <c r="A40" s="8"/>
      <c r="B40" s="4"/>
      <c r="C40" s="5"/>
      <c r="D40" s="5"/>
      <c r="E40" s="3"/>
      <c r="F40" s="3"/>
      <c r="G40" s="6"/>
    </row>
    <row r="41" spans="1:7" x14ac:dyDescent="0.25">
      <c r="A41" s="8"/>
      <c r="B41" s="4"/>
      <c r="C41" s="5"/>
      <c r="D41" s="5"/>
      <c r="E41" s="3"/>
      <c r="F41" s="3"/>
      <c r="G41" s="6"/>
    </row>
    <row r="42" spans="1:7" x14ac:dyDescent="0.25">
      <c r="A42" s="8"/>
      <c r="B42" s="4"/>
      <c r="C42" s="5"/>
      <c r="D42" s="5"/>
      <c r="E42" s="3"/>
      <c r="F42" s="3"/>
      <c r="G42" s="6"/>
    </row>
    <row r="43" spans="1:7" x14ac:dyDescent="0.25">
      <c r="A43" s="8"/>
      <c r="B43" s="4"/>
      <c r="C43" s="5"/>
      <c r="D43" s="5"/>
      <c r="E43" s="3"/>
      <c r="F43" s="3"/>
      <c r="G43" s="6"/>
    </row>
    <row r="44" spans="1:7" x14ac:dyDescent="0.25">
      <c r="A44" s="8"/>
      <c r="B44" s="4"/>
      <c r="C44" s="5"/>
      <c r="D44" s="5"/>
      <c r="E44" s="3"/>
      <c r="F44" s="3"/>
      <c r="G44" s="6"/>
    </row>
    <row r="45" spans="1:7" x14ac:dyDescent="0.25">
      <c r="A45" s="8"/>
      <c r="B45" s="4"/>
      <c r="C45" s="5"/>
      <c r="D45" s="5"/>
      <c r="E45" s="3"/>
      <c r="F45" s="3"/>
      <c r="G45" s="6"/>
    </row>
    <row r="46" spans="1:7" x14ac:dyDescent="0.25">
      <c r="A46" s="8"/>
      <c r="B46" s="4"/>
      <c r="C46" s="5"/>
      <c r="D46" s="5"/>
      <c r="E46" s="3"/>
      <c r="F46" s="3"/>
      <c r="G46" s="6"/>
    </row>
    <row r="47" spans="1:7" x14ac:dyDescent="0.25">
      <c r="A47" s="8"/>
      <c r="B47" s="4"/>
      <c r="C47" s="5"/>
      <c r="D47" s="5"/>
      <c r="E47" s="3"/>
      <c r="F47" s="3"/>
      <c r="G47" s="6"/>
    </row>
    <row r="48" spans="1:7" x14ac:dyDescent="0.25">
      <c r="A48" s="8"/>
      <c r="B48" s="4"/>
      <c r="C48" s="5"/>
      <c r="D48" s="5"/>
      <c r="E48" s="3"/>
      <c r="F48" s="3"/>
      <c r="G48" s="6"/>
    </row>
    <row r="49" spans="1:7" x14ac:dyDescent="0.25">
      <c r="A49" s="8"/>
      <c r="B49" s="4"/>
      <c r="C49" s="5"/>
      <c r="D49" s="5"/>
      <c r="E49" s="3"/>
      <c r="F49" s="3"/>
      <c r="G49" s="6"/>
    </row>
    <row r="50" spans="1:7" x14ac:dyDescent="0.25">
      <c r="A50" s="8"/>
      <c r="B50" s="4"/>
      <c r="C50" s="5"/>
      <c r="D50" s="5"/>
      <c r="E50" s="3"/>
      <c r="F50" s="3"/>
      <c r="G50" s="6"/>
    </row>
    <row r="51" spans="1:7" x14ac:dyDescent="0.25">
      <c r="A51" s="8"/>
      <c r="B51" s="4"/>
      <c r="C51" s="5"/>
      <c r="D51" s="5"/>
      <c r="E51" s="3"/>
      <c r="F51" s="3"/>
      <c r="G51" s="6"/>
    </row>
    <row r="52" spans="1:7" x14ac:dyDescent="0.25">
      <c r="A52" s="8"/>
      <c r="B52" s="4"/>
      <c r="C52" s="5"/>
      <c r="D52" s="5"/>
      <c r="E52" s="3"/>
      <c r="F52" s="3"/>
      <c r="G52" s="6"/>
    </row>
    <row r="53" spans="1:7" x14ac:dyDescent="0.25">
      <c r="A53" s="8"/>
      <c r="B53" s="4"/>
      <c r="C53" s="5"/>
      <c r="D53" s="5"/>
      <c r="E53" s="3"/>
      <c r="F53" s="3"/>
      <c r="G53" s="6"/>
    </row>
    <row r="54" spans="1:7" x14ac:dyDescent="0.25">
      <c r="A54" s="8"/>
      <c r="B54" s="4"/>
      <c r="C54" s="5"/>
      <c r="D54" s="5"/>
      <c r="E54" s="3"/>
      <c r="F54" s="3"/>
      <c r="G54" s="6"/>
    </row>
    <row r="55" spans="1:7" x14ac:dyDescent="0.25">
      <c r="A55" s="8"/>
      <c r="B55" s="4"/>
      <c r="C55" s="5"/>
      <c r="D55" s="5"/>
      <c r="E55" s="3"/>
      <c r="F55" s="3"/>
      <c r="G55" s="6"/>
    </row>
    <row r="56" spans="1:7" x14ac:dyDescent="0.25">
      <c r="A56" s="8"/>
      <c r="B56" s="4"/>
      <c r="C56" s="5"/>
      <c r="D56" s="5"/>
      <c r="E56" s="3"/>
      <c r="F56" s="3"/>
      <c r="G56" s="6"/>
    </row>
    <row r="57" spans="1:7" x14ac:dyDescent="0.25">
      <c r="A57" s="8"/>
      <c r="B57" s="4"/>
      <c r="C57" s="5"/>
      <c r="D57" s="5"/>
      <c r="E57" s="3"/>
      <c r="F57" s="3"/>
      <c r="G57" s="6"/>
    </row>
    <row r="58" spans="1:7" x14ac:dyDescent="0.25">
      <c r="A58" s="8"/>
      <c r="B58" s="4"/>
      <c r="C58" s="5"/>
      <c r="D58" s="5"/>
      <c r="E58" s="3"/>
      <c r="F58" s="3"/>
      <c r="G58" s="6"/>
    </row>
    <row r="59" spans="1:7" x14ac:dyDescent="0.25">
      <c r="A59" s="8"/>
      <c r="B59" s="4"/>
      <c r="C59" s="5"/>
      <c r="D59" s="5"/>
      <c r="E59" s="3"/>
      <c r="F59" s="3"/>
      <c r="G59" s="6"/>
    </row>
    <row r="60" spans="1:7" x14ac:dyDescent="0.25">
      <c r="A60" s="8"/>
      <c r="B60" s="4"/>
      <c r="C60" s="5"/>
      <c r="D60" s="5"/>
      <c r="E60" s="3"/>
      <c r="F60" s="3"/>
      <c r="G60" s="6"/>
    </row>
    <row r="61" spans="1:7" x14ac:dyDescent="0.25">
      <c r="A61" s="8"/>
      <c r="B61" s="4"/>
      <c r="C61" s="5"/>
      <c r="D61" s="5"/>
      <c r="E61" s="3"/>
      <c r="F61" s="3"/>
      <c r="G61" s="6"/>
    </row>
    <row r="62" spans="1:7" x14ac:dyDescent="0.25">
      <c r="A62" s="8"/>
      <c r="B62" s="4"/>
      <c r="C62" s="5"/>
      <c r="D62" s="5"/>
      <c r="E62" s="3"/>
      <c r="F62" s="3"/>
      <c r="G62" s="6"/>
    </row>
    <row r="63" spans="1:7" x14ac:dyDescent="0.25">
      <c r="A63" s="8"/>
      <c r="B63" s="4"/>
      <c r="C63" s="5"/>
      <c r="D63" s="5"/>
      <c r="E63" s="3"/>
      <c r="F63" s="3"/>
      <c r="G63" s="6"/>
    </row>
    <row r="64" spans="1:7" x14ac:dyDescent="0.25">
      <c r="A64" s="8"/>
      <c r="B64" s="4"/>
      <c r="C64" s="5"/>
      <c r="D64" s="5"/>
      <c r="E64" s="3"/>
      <c r="F64" s="3"/>
      <c r="G64" s="6"/>
    </row>
    <row r="65" spans="1:7" x14ac:dyDescent="0.25">
      <c r="A65" s="8"/>
      <c r="B65" s="4"/>
      <c r="C65" s="5"/>
      <c r="D65" s="5"/>
      <c r="E65" s="3"/>
      <c r="F65" s="3"/>
      <c r="G65" s="6"/>
    </row>
    <row r="66" spans="1:7" x14ac:dyDescent="0.25">
      <c r="A66" s="8"/>
      <c r="B66" s="4"/>
      <c r="C66" s="5"/>
      <c r="D66" s="5"/>
      <c r="E66" s="3"/>
      <c r="F66" s="3"/>
      <c r="G66" s="6"/>
    </row>
    <row r="67" spans="1:7" x14ac:dyDescent="0.25">
      <c r="A67" s="8"/>
      <c r="B67" s="4"/>
      <c r="C67" s="5"/>
      <c r="D67" s="5"/>
      <c r="E67" s="3"/>
      <c r="F67" s="3"/>
      <c r="G67" s="6"/>
    </row>
    <row r="68" spans="1:7" x14ac:dyDescent="0.25">
      <c r="A68" s="8"/>
      <c r="B68" s="4"/>
      <c r="C68" s="5"/>
      <c r="D68" s="5"/>
      <c r="E68" s="3"/>
      <c r="F68" s="3"/>
      <c r="G68" s="6"/>
    </row>
    <row r="69" spans="1:7" x14ac:dyDescent="0.25">
      <c r="A69" s="8"/>
      <c r="B69" s="4"/>
      <c r="C69" s="5"/>
      <c r="D69" s="5"/>
      <c r="E69" s="3"/>
      <c r="F69" s="3"/>
      <c r="G69" s="6"/>
    </row>
    <row r="70" spans="1:7" x14ac:dyDescent="0.25">
      <c r="A70" s="8"/>
      <c r="B70" s="4"/>
      <c r="C70" s="5"/>
      <c r="D70" s="5"/>
      <c r="E70" s="3"/>
      <c r="F70" s="3"/>
      <c r="G70" s="6"/>
    </row>
    <row r="71" spans="1:7" x14ac:dyDescent="0.25">
      <c r="A71" s="8"/>
      <c r="B71" s="4"/>
      <c r="C71" s="5"/>
      <c r="D71" s="5"/>
      <c r="E71" s="3"/>
      <c r="F71" s="3"/>
      <c r="G71" s="6"/>
    </row>
    <row r="72" spans="1:7" x14ac:dyDescent="0.25">
      <c r="A72" s="8"/>
      <c r="B72" s="4"/>
      <c r="C72" s="5"/>
      <c r="D72" s="5"/>
      <c r="E72" s="3"/>
      <c r="F72" s="3"/>
      <c r="G72" s="6"/>
    </row>
    <row r="73" spans="1:7" x14ac:dyDescent="0.25">
      <c r="A73" s="8"/>
      <c r="B73" s="4"/>
      <c r="C73" s="5"/>
      <c r="D73" s="5"/>
      <c r="E73" s="3"/>
      <c r="F73" s="3"/>
      <c r="G73" s="6"/>
    </row>
    <row r="74" spans="1:7" x14ac:dyDescent="0.25">
      <c r="A74" s="8"/>
      <c r="B74" s="4"/>
      <c r="C74" s="5"/>
      <c r="D74" s="5"/>
      <c r="E74" s="3"/>
      <c r="F74" s="3"/>
      <c r="G74" s="6"/>
    </row>
    <row r="75" spans="1:7" x14ac:dyDescent="0.25">
      <c r="A75" s="8"/>
      <c r="B75" s="4"/>
      <c r="C75" s="5"/>
      <c r="D75" s="5"/>
      <c r="E75" s="3"/>
      <c r="F75" s="3"/>
      <c r="G75" s="6"/>
    </row>
    <row r="76" spans="1:7" x14ac:dyDescent="0.25">
      <c r="A76" s="8"/>
      <c r="B76" s="4"/>
      <c r="C76" s="5"/>
      <c r="D76" s="5"/>
      <c r="E76" s="3"/>
      <c r="F76" s="3"/>
      <c r="G76" s="6"/>
    </row>
    <row r="77" spans="1:7" x14ac:dyDescent="0.25">
      <c r="A77" s="42" t="s">
        <v>21</v>
      </c>
      <c r="B77" s="43"/>
      <c r="C77" s="2"/>
      <c r="D77" s="2"/>
      <c r="E77" s="38">
        <f>SUM(E2:E76)</f>
        <v>0</v>
      </c>
      <c r="F77" s="38">
        <f>SUM(F2:F76)</f>
        <v>0</v>
      </c>
      <c r="G77" s="44">
        <f>SUM(G5:G76)</f>
        <v>0</v>
      </c>
    </row>
    <row r="78" spans="1:7" x14ac:dyDescent="0.25">
      <c r="A78" s="45" t="s">
        <v>17</v>
      </c>
      <c r="B78" s="46"/>
      <c r="C78" s="51">
        <f>SUMIF(B2:B76,"Capitol One",F2:F76)</f>
        <v>0</v>
      </c>
      <c r="D78" s="2"/>
      <c r="E78" s="2"/>
      <c r="F78" s="2"/>
      <c r="G78" s="9"/>
    </row>
    <row r="79" spans="1:7" x14ac:dyDescent="0.25">
      <c r="A79" s="42" t="s">
        <v>18</v>
      </c>
      <c r="B79" s="43"/>
      <c r="C79" s="38">
        <f>SUMIF(B2:B76,"Sam's Club",F2:F76)</f>
        <v>0</v>
      </c>
      <c r="D79" s="2"/>
      <c r="E79" s="2"/>
      <c r="F79" s="2"/>
      <c r="G79" s="9"/>
    </row>
    <row r="80" spans="1:7" x14ac:dyDescent="0.25">
      <c r="A80" s="42" t="s">
        <v>90</v>
      </c>
      <c r="B80" s="43"/>
      <c r="C80" s="51">
        <f>SUMIF(B2:B76,"Discover",F2:F76)</f>
        <v>0</v>
      </c>
      <c r="D80" s="17"/>
      <c r="E80" s="17"/>
      <c r="F80" s="17"/>
      <c r="G80" s="13"/>
    </row>
    <row r="81" spans="1:7" x14ac:dyDescent="0.25">
      <c r="A81" s="42" t="s">
        <v>91</v>
      </c>
      <c r="B81" s="43"/>
      <c r="C81" s="38">
        <f>SUMIF($B2:B76,"Discover",$E2:E76)+SUMIF($B2:B76,"Discover",$G2:G76)-C80</f>
        <v>0</v>
      </c>
      <c r="D81" s="2"/>
      <c r="E81" s="2"/>
      <c r="F81" s="2"/>
      <c r="G81" s="9"/>
    </row>
    <row r="82" spans="1:7" x14ac:dyDescent="0.25">
      <c r="A82" s="45" t="s">
        <v>19</v>
      </c>
      <c r="B82" s="46"/>
      <c r="C82" s="38">
        <f>SUMIF($B2:B76,"Capitol One",$E2:E76)+SUMIF($B2:B76,"Capitol One",$G2:G76)-C78</f>
        <v>0</v>
      </c>
      <c r="D82" s="2"/>
      <c r="E82" s="2"/>
      <c r="F82" s="2"/>
      <c r="G82" s="9"/>
    </row>
    <row r="83" spans="1:7" ht="15.75" thickBot="1" x14ac:dyDescent="0.3">
      <c r="A83" s="47" t="s">
        <v>20</v>
      </c>
      <c r="B83" s="48"/>
      <c r="C83" s="49">
        <f>SUMIF($B2:B76,"Sam's Club",$E2:E76)+SUMIF($B2:B76,"Sam's Club",$G2:G76)-C79</f>
        <v>0</v>
      </c>
      <c r="D83" s="10"/>
      <c r="E83" s="10"/>
      <c r="F83" s="10"/>
      <c r="G83" s="11"/>
    </row>
  </sheetData>
  <autoFilter ref="A1:G1" xr:uid="{55C6C991-3FFE-4866-967D-4139DF94C020}">
    <sortState xmlns:xlrd2="http://schemas.microsoft.com/office/spreadsheetml/2017/richdata2" ref="A2:G75">
      <sortCondition ref="B1"/>
    </sortState>
  </autoFilter>
  <dataConsolidate/>
  <mergeCells count="7">
    <mergeCell ref="A83:B83"/>
    <mergeCell ref="A77:B77"/>
    <mergeCell ref="A78:B78"/>
    <mergeCell ref="A79:B79"/>
    <mergeCell ref="A80:B80"/>
    <mergeCell ref="A81:B81"/>
    <mergeCell ref="A82:B82"/>
  </mergeCells>
  <dataValidations count="11">
    <dataValidation type="date" allowBlank="1" showInputMessage="1" showErrorMessage="1" sqref="A28:A29" xr:uid="{DD474EDD-9DE5-4BB4-85A5-2E20AC94F6E0}">
      <formula1>A28</formula1>
      <formula2>A101</formula2>
    </dataValidation>
    <dataValidation type="date" allowBlank="1" showInputMessage="1" showErrorMessage="1" sqref="A30:A42" xr:uid="{97CC91ED-56BD-4FBF-BAA7-20B6FF47C83D}">
      <formula1>A30</formula1>
      <formula2>A102</formula2>
    </dataValidation>
    <dataValidation type="date" allowBlank="1" showInputMessage="1" showErrorMessage="1" sqref="A43:A59" xr:uid="{76C7D34F-CD01-41C3-B7AF-FD5FB362C059}">
      <formula1>A43</formula1>
      <formula2>A107</formula2>
    </dataValidation>
    <dataValidation type="date" allowBlank="1" showInputMessage="1" showErrorMessage="1" sqref="A2:A21" xr:uid="{3974B732-97B4-44EA-8F79-82E81943E795}">
      <formula1>A2</formula1>
      <formula2>A80</formula2>
    </dataValidation>
    <dataValidation type="date" allowBlank="1" showInputMessage="1" showErrorMessage="1" sqref="A22:A27" xr:uid="{3E2844A7-5334-458F-9FB3-07DAE0561122}">
      <formula1>A22</formula1>
      <formula2>A101</formula2>
    </dataValidation>
    <dataValidation type="date" allowBlank="1" showInputMessage="1" showErrorMessage="1" sqref="A60:A65" xr:uid="{4D31FC61-70FB-4AF3-9991-0C382D9B32EE}">
      <formula1>A60</formula1>
      <formula2>A103</formula2>
    </dataValidation>
    <dataValidation type="date" allowBlank="1" showInputMessage="1" showErrorMessage="1" sqref="A66:A75" xr:uid="{DA90D373-AAE5-4247-A37E-4993F8325C5C}">
      <formula1>A66</formula1>
      <formula2>A105</formula2>
    </dataValidation>
    <dataValidation type="list" allowBlank="1" showInputMessage="1" showErrorMessage="1" sqref="B2:B76" xr:uid="{4BF0E99B-1C9E-49BC-9701-B88A1659537A}">
      <formula1>CCUsed</formula1>
    </dataValidation>
    <dataValidation type="list" allowBlank="1" showInputMessage="1" showErrorMessage="1" sqref="D2:D76" xr:uid="{05285A24-8FED-4750-99BF-CCE05A699A1D}">
      <formula1>ItemsDescription</formula1>
    </dataValidation>
    <dataValidation type="list" allowBlank="1" showInputMessage="1" showErrorMessage="1" sqref="C2:C76" xr:uid="{707F1B04-44E4-482D-9EEC-6E675830B99E}">
      <formula1>StoresDescription</formula1>
    </dataValidation>
    <dataValidation type="date" allowBlank="1" showInputMessage="1" showErrorMessage="1" sqref="A76" xr:uid="{6169DA13-4FA4-4644-BBBB-575264D94289}">
      <formula1>A76</formula1>
      <formula2>A107</formula2>
    </dataValidation>
  </dataValidations>
  <pageMargins left="0.25" right="0.25" top="0.75" bottom="0.75" header="0.3" footer="0.3"/>
  <pageSetup paperSize="3" scale="9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03B4-F43A-470D-B906-C3B4AC37D663}">
  <sheetPr codeName="Sheet12"/>
  <dimension ref="A1:J105"/>
  <sheetViews>
    <sheetView zoomScaleNormal="100" zoomScaleSheetLayoutView="62" workbookViewId="0">
      <pane ySplit="1" topLeftCell="A2" activePane="bottomLeft" state="frozen"/>
      <selection activeCell="C4" sqref="C4"/>
      <selection pane="bottomLeft" activeCell="B7" sqref="B7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4.5703125" bestFit="1" customWidth="1"/>
    <col min="4" max="4" width="20.140625" bestFit="1" customWidth="1"/>
    <col min="5" max="5" width="10.5703125" bestFit="1" customWidth="1"/>
    <col min="6" max="6" width="9.85546875" bestFit="1" customWidth="1"/>
    <col min="7" max="7" width="8.7109375" bestFit="1" customWidth="1"/>
    <col min="8" max="8" width="8.5703125" customWidth="1"/>
    <col min="9" max="9" width="20.28515625" bestFit="1" customWidth="1"/>
    <col min="10" max="10" width="10.5703125" bestFit="1" customWidth="1"/>
  </cols>
  <sheetData>
    <row r="1" spans="1:10" x14ac:dyDescent="0.25">
      <c r="A1" s="31" t="s">
        <v>0</v>
      </c>
      <c r="B1" s="32" t="s">
        <v>24</v>
      </c>
      <c r="C1" s="33" t="s">
        <v>1</v>
      </c>
      <c r="D1" s="33" t="s">
        <v>2</v>
      </c>
      <c r="E1" s="33" t="s">
        <v>25</v>
      </c>
      <c r="F1" s="33" t="s">
        <v>26</v>
      </c>
      <c r="G1" s="34" t="s">
        <v>30</v>
      </c>
    </row>
    <row r="2" spans="1:10" x14ac:dyDescent="0.25">
      <c r="A2" s="8"/>
      <c r="B2" s="4"/>
      <c r="C2" s="5"/>
      <c r="D2" s="5"/>
      <c r="E2" s="18"/>
      <c r="F2" s="18"/>
      <c r="G2" s="30"/>
    </row>
    <row r="3" spans="1:10" x14ac:dyDescent="0.25">
      <c r="A3" s="8"/>
      <c r="B3" s="4"/>
      <c r="C3" s="5"/>
      <c r="D3" s="5"/>
      <c r="E3" s="18"/>
      <c r="F3" s="18"/>
      <c r="G3" s="19"/>
    </row>
    <row r="4" spans="1:10" x14ac:dyDescent="0.25">
      <c r="A4" s="8"/>
      <c r="B4" s="4"/>
      <c r="C4" s="5"/>
      <c r="D4" s="5"/>
      <c r="E4" s="18"/>
      <c r="F4" s="18"/>
      <c r="G4" s="19"/>
    </row>
    <row r="5" spans="1:10" x14ac:dyDescent="0.25">
      <c r="A5" s="8"/>
      <c r="B5" s="4"/>
      <c r="C5" s="5"/>
      <c r="D5" s="5"/>
      <c r="E5" s="18"/>
      <c r="F5" s="18"/>
      <c r="G5" s="19"/>
      <c r="I5" s="39" t="s">
        <v>81</v>
      </c>
      <c r="J5" s="38">
        <f t="shared" ref="J5:J11" si="0">SUMIF($D$2:$D$98,I5,$E$2:$E$98)-SUMIF($D$2:$D$98,I5,$F$2:$F$98)</f>
        <v>0</v>
      </c>
    </row>
    <row r="6" spans="1:10" x14ac:dyDescent="0.25">
      <c r="A6" s="8"/>
      <c r="B6" s="4"/>
      <c r="C6" s="5"/>
      <c r="D6" s="5"/>
      <c r="E6" s="18"/>
      <c r="F6" s="18"/>
      <c r="G6" s="19"/>
      <c r="I6" s="39" t="s">
        <v>5</v>
      </c>
      <c r="J6" s="38">
        <f t="shared" si="0"/>
        <v>0</v>
      </c>
    </row>
    <row r="7" spans="1:10" x14ac:dyDescent="0.25">
      <c r="A7" s="8"/>
      <c r="B7" s="4"/>
      <c r="C7" s="5"/>
      <c r="D7" s="5"/>
      <c r="E7" s="18"/>
      <c r="F7" s="18"/>
      <c r="G7" s="19"/>
      <c r="I7" s="39" t="s">
        <v>6</v>
      </c>
      <c r="J7" s="38">
        <f t="shared" si="0"/>
        <v>0</v>
      </c>
    </row>
    <row r="8" spans="1:10" x14ac:dyDescent="0.25">
      <c r="A8" s="8"/>
      <c r="B8" s="4"/>
      <c r="C8" s="5"/>
      <c r="D8" s="5"/>
      <c r="E8" s="18"/>
      <c r="F8" s="18"/>
      <c r="G8" s="19"/>
      <c r="I8" s="39" t="s">
        <v>15</v>
      </c>
      <c r="J8" s="38">
        <f t="shared" si="0"/>
        <v>0</v>
      </c>
    </row>
    <row r="9" spans="1:10" x14ac:dyDescent="0.25">
      <c r="A9" s="8"/>
      <c r="B9" s="4"/>
      <c r="C9" s="5"/>
      <c r="D9" s="5"/>
      <c r="E9" s="18"/>
      <c r="F9" s="18"/>
      <c r="G9" s="19"/>
      <c r="I9" s="39" t="s">
        <v>3</v>
      </c>
      <c r="J9" s="38">
        <f t="shared" si="0"/>
        <v>0</v>
      </c>
    </row>
    <row r="10" spans="1:10" x14ac:dyDescent="0.25">
      <c r="A10" s="8"/>
      <c r="B10" s="4"/>
      <c r="C10" s="5"/>
      <c r="D10" s="5"/>
      <c r="E10" s="18"/>
      <c r="F10" s="18"/>
      <c r="G10" s="19"/>
      <c r="I10" s="39" t="s">
        <v>4</v>
      </c>
      <c r="J10" s="38">
        <f t="shared" si="0"/>
        <v>0</v>
      </c>
    </row>
    <row r="11" spans="1:10" x14ac:dyDescent="0.25">
      <c r="A11" s="8"/>
      <c r="B11" s="4"/>
      <c r="C11" s="5"/>
      <c r="D11" s="5"/>
      <c r="E11" s="18"/>
      <c r="F11" s="18"/>
      <c r="G11" s="19"/>
      <c r="I11" s="39" t="s">
        <v>84</v>
      </c>
      <c r="J11" s="38">
        <f t="shared" si="0"/>
        <v>0</v>
      </c>
    </row>
    <row r="12" spans="1:10" x14ac:dyDescent="0.25">
      <c r="A12" s="8"/>
      <c r="B12" s="4"/>
      <c r="C12" s="5"/>
      <c r="D12" s="5"/>
      <c r="E12" s="18"/>
      <c r="F12" s="18"/>
      <c r="G12" s="19"/>
      <c r="I12" s="39" t="s">
        <v>30</v>
      </c>
      <c r="J12" s="38">
        <f>SUMIF($D$2:$D$98,I12,$G$2:$G$98)-SUMIF($D$2:$D$98,I12,$F$2:$F$98)</f>
        <v>0</v>
      </c>
    </row>
    <row r="13" spans="1:10" x14ac:dyDescent="0.25">
      <c r="A13" s="8"/>
      <c r="B13" s="4"/>
      <c r="C13" s="5"/>
      <c r="D13" s="5"/>
      <c r="E13" s="18"/>
      <c r="F13" s="18"/>
      <c r="G13" s="19"/>
    </row>
    <row r="14" spans="1:10" x14ac:dyDescent="0.25">
      <c r="A14" s="8"/>
      <c r="B14" s="4"/>
      <c r="C14" s="5"/>
      <c r="D14" s="5"/>
      <c r="E14" s="18"/>
      <c r="F14" s="18"/>
      <c r="G14" s="19"/>
    </row>
    <row r="15" spans="1:10" x14ac:dyDescent="0.25">
      <c r="A15" s="8"/>
      <c r="B15" s="4"/>
      <c r="C15" s="5"/>
      <c r="D15" s="5"/>
      <c r="E15" s="18"/>
      <c r="F15" s="18"/>
      <c r="G15" s="19"/>
    </row>
    <row r="16" spans="1:10" x14ac:dyDescent="0.25">
      <c r="A16" s="8"/>
      <c r="B16" s="4"/>
      <c r="C16" s="5"/>
      <c r="D16" s="5"/>
      <c r="E16" s="18"/>
      <c r="F16" s="18"/>
      <c r="G16" s="19"/>
    </row>
    <row r="17" spans="1:7" x14ac:dyDescent="0.25">
      <c r="A17" s="8"/>
      <c r="B17" s="4"/>
      <c r="C17" s="5"/>
      <c r="D17" s="5"/>
      <c r="E17" s="18"/>
      <c r="F17" s="18"/>
      <c r="G17" s="19"/>
    </row>
    <row r="18" spans="1:7" x14ac:dyDescent="0.25">
      <c r="A18" s="8"/>
      <c r="B18" s="4"/>
      <c r="C18" s="5"/>
      <c r="D18" s="5"/>
      <c r="E18" s="18"/>
      <c r="F18" s="18"/>
      <c r="G18" s="19"/>
    </row>
    <row r="19" spans="1:7" x14ac:dyDescent="0.25">
      <c r="A19" s="8"/>
      <c r="B19" s="4"/>
      <c r="C19" s="5"/>
      <c r="D19" s="5"/>
      <c r="E19" s="18"/>
      <c r="F19" s="18"/>
      <c r="G19" s="19"/>
    </row>
    <row r="20" spans="1:7" x14ac:dyDescent="0.25">
      <c r="A20" s="8"/>
      <c r="B20" s="4"/>
      <c r="C20" s="5"/>
      <c r="D20" s="5"/>
      <c r="E20" s="18"/>
      <c r="F20" s="18"/>
      <c r="G20" s="19"/>
    </row>
    <row r="21" spans="1:7" x14ac:dyDescent="0.25">
      <c r="A21" s="8"/>
      <c r="B21" s="4"/>
      <c r="C21" s="5"/>
      <c r="D21" s="5"/>
      <c r="E21" s="18"/>
      <c r="F21" s="18"/>
      <c r="G21" s="19"/>
    </row>
    <row r="22" spans="1:7" x14ac:dyDescent="0.25">
      <c r="A22" s="8"/>
      <c r="B22" s="4"/>
      <c r="C22" s="5"/>
      <c r="D22" s="5"/>
      <c r="E22" s="18"/>
      <c r="F22" s="18"/>
      <c r="G22" s="19"/>
    </row>
    <row r="23" spans="1:7" x14ac:dyDescent="0.25">
      <c r="A23" s="8"/>
      <c r="B23" s="4"/>
      <c r="C23" s="5"/>
      <c r="D23" s="5"/>
      <c r="E23" s="18"/>
      <c r="F23" s="18"/>
      <c r="G23" s="19"/>
    </row>
    <row r="24" spans="1:7" x14ac:dyDescent="0.25">
      <c r="A24" s="8"/>
      <c r="B24" s="4"/>
      <c r="C24" s="5"/>
      <c r="D24" s="5"/>
      <c r="E24" s="18"/>
      <c r="F24" s="18"/>
      <c r="G24" s="19"/>
    </row>
    <row r="25" spans="1:7" x14ac:dyDescent="0.25">
      <c r="A25" s="8"/>
      <c r="B25" s="4"/>
      <c r="C25" s="5"/>
      <c r="D25" s="5"/>
      <c r="E25" s="18"/>
      <c r="F25" s="18"/>
      <c r="G25" s="19"/>
    </row>
    <row r="26" spans="1:7" x14ac:dyDescent="0.25">
      <c r="A26" s="8"/>
      <c r="B26" s="4"/>
      <c r="C26" s="5"/>
      <c r="D26" s="5"/>
      <c r="E26" s="18"/>
      <c r="F26" s="18"/>
      <c r="G26" s="19"/>
    </row>
    <row r="27" spans="1:7" x14ac:dyDescent="0.25">
      <c r="A27" s="8"/>
      <c r="B27" s="7"/>
      <c r="C27" s="5"/>
      <c r="D27" s="5"/>
      <c r="E27" s="18"/>
      <c r="F27" s="18"/>
      <c r="G27" s="19"/>
    </row>
    <row r="28" spans="1:7" x14ac:dyDescent="0.25">
      <c r="A28" s="8"/>
      <c r="B28" s="4"/>
      <c r="C28" s="5"/>
      <c r="D28" s="5"/>
      <c r="E28" s="18"/>
      <c r="F28" s="18"/>
      <c r="G28" s="9"/>
    </row>
    <row r="29" spans="1:7" x14ac:dyDescent="0.25">
      <c r="A29" s="8"/>
      <c r="B29" s="7"/>
      <c r="C29" s="5"/>
      <c r="D29" s="5"/>
      <c r="E29" s="18"/>
      <c r="F29" s="18"/>
      <c r="G29" s="19"/>
    </row>
    <row r="30" spans="1:7" x14ac:dyDescent="0.25">
      <c r="A30" s="8"/>
      <c r="B30" s="4"/>
      <c r="C30" s="5"/>
      <c r="D30" s="5"/>
      <c r="E30" s="18"/>
      <c r="F30" s="18"/>
      <c r="G30" s="19"/>
    </row>
    <row r="31" spans="1:7" x14ac:dyDescent="0.25">
      <c r="A31" s="8"/>
      <c r="B31" s="4"/>
      <c r="C31" s="5"/>
      <c r="D31" s="5"/>
      <c r="E31" s="18"/>
      <c r="F31" s="18"/>
      <c r="G31" s="19"/>
    </row>
    <row r="32" spans="1:7" x14ac:dyDescent="0.25">
      <c r="A32" s="8"/>
      <c r="B32" s="4"/>
      <c r="C32" s="5"/>
      <c r="D32" s="5"/>
      <c r="E32" s="18"/>
      <c r="F32" s="18"/>
      <c r="G32" s="19"/>
    </row>
    <row r="33" spans="1:7" x14ac:dyDescent="0.25">
      <c r="A33" s="8"/>
      <c r="B33" s="4"/>
      <c r="C33" s="5"/>
      <c r="D33" s="5"/>
      <c r="E33" s="18"/>
      <c r="F33" s="18"/>
      <c r="G33" s="19"/>
    </row>
    <row r="34" spans="1:7" x14ac:dyDescent="0.25">
      <c r="A34" s="8"/>
      <c r="B34" s="4"/>
      <c r="C34" s="5"/>
      <c r="D34" s="5"/>
      <c r="E34" s="18"/>
      <c r="F34" s="18"/>
      <c r="G34" s="19"/>
    </row>
    <row r="35" spans="1:7" x14ac:dyDescent="0.25">
      <c r="A35" s="8"/>
      <c r="B35" s="4"/>
      <c r="C35" s="5"/>
      <c r="D35" s="5"/>
      <c r="E35" s="18"/>
      <c r="F35" s="18"/>
      <c r="G35" s="19"/>
    </row>
    <row r="36" spans="1:7" x14ac:dyDescent="0.25">
      <c r="A36" s="8"/>
      <c r="B36" s="4"/>
      <c r="C36" s="5"/>
      <c r="D36" s="5"/>
      <c r="E36" s="18"/>
      <c r="F36" s="18"/>
      <c r="G36" s="19"/>
    </row>
    <row r="37" spans="1:7" x14ac:dyDescent="0.25">
      <c r="A37" s="8"/>
      <c r="B37" s="4"/>
      <c r="C37" s="5"/>
      <c r="D37" s="5"/>
      <c r="E37" s="18"/>
      <c r="F37" s="18"/>
      <c r="G37" s="19"/>
    </row>
    <row r="38" spans="1:7" x14ac:dyDescent="0.25">
      <c r="A38" s="8"/>
      <c r="B38" s="4"/>
      <c r="C38" s="5"/>
      <c r="D38" s="5"/>
      <c r="E38" s="18"/>
      <c r="F38" s="18"/>
      <c r="G38" s="19"/>
    </row>
    <row r="39" spans="1:7" x14ac:dyDescent="0.25">
      <c r="A39" s="8"/>
      <c r="B39" s="4"/>
      <c r="C39" s="5"/>
      <c r="D39" s="5"/>
      <c r="E39" s="18"/>
      <c r="F39" s="18"/>
      <c r="G39" s="19"/>
    </row>
    <row r="40" spans="1:7" x14ac:dyDescent="0.25">
      <c r="A40" s="8"/>
      <c r="B40" s="4"/>
      <c r="C40" s="5"/>
      <c r="D40" s="5"/>
      <c r="E40" s="18"/>
      <c r="F40" s="18"/>
      <c r="G40" s="19"/>
    </row>
    <row r="41" spans="1:7" x14ac:dyDescent="0.25">
      <c r="A41" s="8"/>
      <c r="B41" s="4"/>
      <c r="C41" s="5"/>
      <c r="D41" s="5"/>
      <c r="E41" s="18"/>
      <c r="F41" s="18"/>
      <c r="G41" s="19"/>
    </row>
    <row r="42" spans="1:7" x14ac:dyDescent="0.25">
      <c r="A42" s="8"/>
      <c r="B42" s="4"/>
      <c r="C42" s="5"/>
      <c r="D42" s="5"/>
      <c r="E42" s="18"/>
      <c r="F42" s="18"/>
      <c r="G42" s="19"/>
    </row>
    <row r="43" spans="1:7" x14ac:dyDescent="0.25">
      <c r="A43" s="8"/>
      <c r="B43" s="4"/>
      <c r="C43" s="5"/>
      <c r="D43" s="5"/>
      <c r="E43" s="18"/>
      <c r="F43" s="18"/>
      <c r="G43" s="19"/>
    </row>
    <row r="44" spans="1:7" x14ac:dyDescent="0.25">
      <c r="A44" s="8"/>
      <c r="B44" s="4"/>
      <c r="C44" s="5"/>
      <c r="D44" s="5"/>
      <c r="E44" s="18"/>
      <c r="F44" s="18"/>
      <c r="G44" s="19"/>
    </row>
    <row r="45" spans="1:7" x14ac:dyDescent="0.25">
      <c r="A45" s="8"/>
      <c r="B45" s="4"/>
      <c r="C45" s="5"/>
      <c r="D45" s="5"/>
      <c r="E45" s="18"/>
      <c r="F45" s="18"/>
      <c r="G45" s="19"/>
    </row>
    <row r="46" spans="1:7" x14ac:dyDescent="0.25">
      <c r="A46" s="8"/>
      <c r="B46" s="4"/>
      <c r="C46" s="5"/>
      <c r="D46" s="5"/>
      <c r="E46" s="18"/>
      <c r="F46" s="18"/>
      <c r="G46" s="19"/>
    </row>
    <row r="47" spans="1:7" x14ac:dyDescent="0.25">
      <c r="A47" s="8"/>
      <c r="B47" s="4"/>
      <c r="C47" s="5"/>
      <c r="D47" s="5"/>
      <c r="E47" s="18"/>
      <c r="F47" s="18"/>
      <c r="G47" s="19"/>
    </row>
    <row r="48" spans="1:7" x14ac:dyDescent="0.25">
      <c r="A48" s="8"/>
      <c r="B48" s="4"/>
      <c r="C48" s="5"/>
      <c r="D48" s="5"/>
      <c r="E48" s="18"/>
      <c r="F48" s="18"/>
      <c r="G48" s="19"/>
    </row>
    <row r="49" spans="1:7" x14ac:dyDescent="0.25">
      <c r="A49" s="8"/>
      <c r="B49" s="4"/>
      <c r="C49" s="5"/>
      <c r="D49" s="5"/>
      <c r="E49" s="18"/>
      <c r="F49" s="18"/>
      <c r="G49" s="19"/>
    </row>
    <row r="50" spans="1:7" x14ac:dyDescent="0.25">
      <c r="A50" s="8"/>
      <c r="B50" s="4"/>
      <c r="C50" s="5"/>
      <c r="D50" s="5"/>
      <c r="E50" s="18"/>
      <c r="F50" s="18"/>
      <c r="G50" s="19"/>
    </row>
    <row r="51" spans="1:7" x14ac:dyDescent="0.25">
      <c r="A51" s="8"/>
      <c r="B51" s="4"/>
      <c r="C51" s="5"/>
      <c r="D51" s="5"/>
      <c r="E51" s="18"/>
      <c r="F51" s="18"/>
      <c r="G51" s="19"/>
    </row>
    <row r="52" spans="1:7" x14ac:dyDescent="0.25">
      <c r="A52" s="8"/>
      <c r="B52" s="4"/>
      <c r="C52" s="5"/>
      <c r="D52" s="5"/>
      <c r="E52" s="18"/>
      <c r="F52" s="18"/>
      <c r="G52" s="19"/>
    </row>
    <row r="53" spans="1:7" x14ac:dyDescent="0.25">
      <c r="A53" s="8"/>
      <c r="B53" s="4"/>
      <c r="C53" s="5"/>
      <c r="D53" s="5"/>
      <c r="E53" s="18"/>
      <c r="F53" s="18"/>
      <c r="G53" s="19"/>
    </row>
    <row r="54" spans="1:7" x14ac:dyDescent="0.25">
      <c r="A54" s="8"/>
      <c r="B54" s="4"/>
      <c r="C54" s="5"/>
      <c r="D54" s="5"/>
      <c r="E54" s="18"/>
      <c r="F54" s="18"/>
      <c r="G54" s="19"/>
    </row>
    <row r="55" spans="1:7" x14ac:dyDescent="0.25">
      <c r="A55" s="8"/>
      <c r="B55" s="4"/>
      <c r="C55" s="5"/>
      <c r="D55" s="5"/>
      <c r="E55" s="18"/>
      <c r="F55" s="18"/>
      <c r="G55" s="19"/>
    </row>
    <row r="56" spans="1:7" x14ac:dyDescent="0.25">
      <c r="A56" s="8"/>
      <c r="B56" s="4"/>
      <c r="C56" s="5"/>
      <c r="D56" s="5"/>
      <c r="E56" s="18"/>
      <c r="F56" s="18"/>
      <c r="G56" s="19"/>
    </row>
    <row r="57" spans="1:7" x14ac:dyDescent="0.25">
      <c r="A57" s="8"/>
      <c r="B57" s="4"/>
      <c r="C57" s="5"/>
      <c r="D57" s="5"/>
      <c r="E57" s="18"/>
      <c r="F57" s="18"/>
      <c r="G57" s="19"/>
    </row>
    <row r="58" spans="1:7" x14ac:dyDescent="0.25">
      <c r="A58" s="8"/>
      <c r="B58" s="4"/>
      <c r="C58" s="5"/>
      <c r="D58" s="5"/>
      <c r="E58" s="18"/>
      <c r="F58" s="18"/>
      <c r="G58" s="19"/>
    </row>
    <row r="59" spans="1:7" x14ac:dyDescent="0.25">
      <c r="A59" s="8"/>
      <c r="B59" s="4"/>
      <c r="C59" s="5"/>
      <c r="D59" s="5"/>
      <c r="E59" s="18"/>
      <c r="F59" s="18"/>
      <c r="G59" s="19"/>
    </row>
    <row r="60" spans="1:7" x14ac:dyDescent="0.25">
      <c r="A60" s="8"/>
      <c r="B60" s="4"/>
      <c r="C60" s="5"/>
      <c r="D60" s="5"/>
      <c r="E60" s="18"/>
      <c r="F60" s="18"/>
      <c r="G60" s="19"/>
    </row>
    <row r="61" spans="1:7" x14ac:dyDescent="0.25">
      <c r="A61" s="8"/>
      <c r="B61" s="4"/>
      <c r="C61" s="5"/>
      <c r="D61" s="5"/>
      <c r="E61" s="18"/>
      <c r="F61" s="18"/>
      <c r="G61" s="19"/>
    </row>
    <row r="62" spans="1:7" x14ac:dyDescent="0.25">
      <c r="A62" s="8"/>
      <c r="B62" s="4"/>
      <c r="C62" s="5"/>
      <c r="D62" s="5"/>
      <c r="E62" s="18"/>
      <c r="F62" s="18"/>
      <c r="G62" s="19"/>
    </row>
    <row r="63" spans="1:7" x14ac:dyDescent="0.25">
      <c r="A63" s="8"/>
      <c r="B63" s="4"/>
      <c r="C63" s="5"/>
      <c r="D63" s="5"/>
      <c r="E63" s="18"/>
      <c r="F63" s="18"/>
      <c r="G63" s="19"/>
    </row>
    <row r="64" spans="1:7" x14ac:dyDescent="0.25">
      <c r="A64" s="8"/>
      <c r="B64" s="4"/>
      <c r="C64" s="5"/>
      <c r="D64" s="5"/>
      <c r="E64" s="18"/>
      <c r="F64" s="18"/>
      <c r="G64" s="19"/>
    </row>
    <row r="65" spans="1:7" x14ac:dyDescent="0.25">
      <c r="A65" s="8"/>
      <c r="B65" s="4"/>
      <c r="C65" s="5"/>
      <c r="D65" s="5"/>
      <c r="E65" s="18"/>
      <c r="F65" s="18"/>
      <c r="G65" s="19"/>
    </row>
    <row r="66" spans="1:7" x14ac:dyDescent="0.25">
      <c r="A66" s="8"/>
      <c r="B66" s="4"/>
      <c r="C66" s="5"/>
      <c r="D66" s="5"/>
      <c r="E66" s="18"/>
      <c r="F66" s="18"/>
      <c r="G66" s="19"/>
    </row>
    <row r="67" spans="1:7" x14ac:dyDescent="0.25">
      <c r="A67" s="8"/>
      <c r="B67" s="4"/>
      <c r="C67" s="5"/>
      <c r="D67" s="5"/>
      <c r="E67" s="18"/>
      <c r="F67" s="18"/>
      <c r="G67" s="19"/>
    </row>
    <row r="68" spans="1:7" x14ac:dyDescent="0.25">
      <c r="A68" s="8"/>
      <c r="B68" s="4"/>
      <c r="C68" s="5"/>
      <c r="D68" s="5"/>
      <c r="E68" s="18"/>
      <c r="F68" s="18"/>
      <c r="G68" s="19"/>
    </row>
    <row r="69" spans="1:7" x14ac:dyDescent="0.25">
      <c r="A69" s="8"/>
      <c r="B69" s="4"/>
      <c r="C69" s="5"/>
      <c r="D69" s="5"/>
      <c r="E69" s="18"/>
      <c r="F69" s="18"/>
      <c r="G69" s="19"/>
    </row>
    <row r="70" spans="1:7" x14ac:dyDescent="0.25">
      <c r="A70" s="8"/>
      <c r="B70" s="4"/>
      <c r="C70" s="5"/>
      <c r="D70" s="5"/>
      <c r="E70" s="18"/>
      <c r="F70" s="18"/>
      <c r="G70" s="19"/>
    </row>
    <row r="71" spans="1:7" x14ac:dyDescent="0.25">
      <c r="A71" s="8"/>
      <c r="B71" s="4"/>
      <c r="C71" s="5"/>
      <c r="D71" s="5"/>
      <c r="E71" s="18"/>
      <c r="F71" s="18"/>
      <c r="G71" s="19"/>
    </row>
    <row r="72" spans="1:7" x14ac:dyDescent="0.25">
      <c r="A72" s="8"/>
      <c r="B72" s="4"/>
      <c r="C72" s="5"/>
      <c r="D72" s="5"/>
      <c r="E72" s="18"/>
      <c r="F72" s="18"/>
      <c r="G72" s="19"/>
    </row>
    <row r="73" spans="1:7" x14ac:dyDescent="0.25">
      <c r="A73" s="8"/>
      <c r="B73" s="4"/>
      <c r="C73" s="5"/>
      <c r="D73" s="5"/>
      <c r="E73" s="18"/>
      <c r="F73" s="18"/>
      <c r="G73" s="19"/>
    </row>
    <row r="74" spans="1:7" x14ac:dyDescent="0.25">
      <c r="A74" s="8"/>
      <c r="B74" s="4"/>
      <c r="C74" s="5"/>
      <c r="D74" s="5"/>
      <c r="E74" s="18"/>
      <c r="F74" s="18"/>
      <c r="G74" s="19"/>
    </row>
    <row r="75" spans="1:7" x14ac:dyDescent="0.25">
      <c r="A75" s="8"/>
      <c r="B75" s="4"/>
      <c r="C75" s="5"/>
      <c r="D75" s="5"/>
      <c r="E75" s="18"/>
      <c r="F75" s="18"/>
      <c r="G75" s="19"/>
    </row>
    <row r="76" spans="1:7" x14ac:dyDescent="0.25">
      <c r="A76" s="8"/>
      <c r="B76" s="4"/>
      <c r="C76" s="5"/>
      <c r="D76" s="5"/>
      <c r="E76" s="18"/>
      <c r="F76" s="18"/>
      <c r="G76" s="19"/>
    </row>
    <row r="77" spans="1:7" x14ac:dyDescent="0.25">
      <c r="A77" s="8"/>
      <c r="B77" s="4"/>
      <c r="C77" s="5"/>
      <c r="D77" s="5"/>
      <c r="E77" s="18"/>
      <c r="F77" s="18"/>
      <c r="G77" s="19"/>
    </row>
    <row r="78" spans="1:7" x14ac:dyDescent="0.25">
      <c r="A78" s="8"/>
      <c r="B78" s="4"/>
      <c r="C78" s="5"/>
      <c r="D78" s="5"/>
      <c r="E78" s="18"/>
      <c r="F78" s="18"/>
      <c r="G78" s="19"/>
    </row>
    <row r="79" spans="1:7" x14ac:dyDescent="0.25">
      <c r="A79" s="8"/>
      <c r="B79" s="4"/>
      <c r="C79" s="5"/>
      <c r="D79" s="5"/>
      <c r="E79" s="18"/>
      <c r="F79" s="18"/>
      <c r="G79" s="19"/>
    </row>
    <row r="80" spans="1:7" x14ac:dyDescent="0.25">
      <c r="A80" s="8"/>
      <c r="B80" s="4"/>
      <c r="C80" s="5"/>
      <c r="D80" s="5"/>
      <c r="E80" s="18"/>
      <c r="F80" s="18"/>
      <c r="G80" s="19"/>
    </row>
    <row r="81" spans="1:7" x14ac:dyDescent="0.25">
      <c r="A81" s="8"/>
      <c r="B81" s="4"/>
      <c r="C81" s="5"/>
      <c r="D81" s="5"/>
      <c r="E81" s="18"/>
      <c r="F81" s="18"/>
      <c r="G81" s="19"/>
    </row>
    <row r="82" spans="1:7" x14ac:dyDescent="0.25">
      <c r="A82" s="8"/>
      <c r="B82" s="4"/>
      <c r="C82" s="5"/>
      <c r="D82" s="5"/>
      <c r="E82" s="18"/>
      <c r="F82" s="18"/>
      <c r="G82" s="19"/>
    </row>
    <row r="83" spans="1:7" x14ac:dyDescent="0.25">
      <c r="A83" s="8"/>
      <c r="B83" s="4"/>
      <c r="C83" s="5"/>
      <c r="D83" s="5"/>
      <c r="E83" s="18"/>
      <c r="F83" s="18"/>
      <c r="G83" s="19"/>
    </row>
    <row r="84" spans="1:7" x14ac:dyDescent="0.25">
      <c r="A84" s="8"/>
      <c r="B84" s="4"/>
      <c r="C84" s="5"/>
      <c r="D84" s="5"/>
      <c r="E84" s="18"/>
      <c r="F84" s="18"/>
      <c r="G84" s="19"/>
    </row>
    <row r="85" spans="1:7" x14ac:dyDescent="0.25">
      <c r="A85" s="8"/>
      <c r="B85" s="4"/>
      <c r="C85" s="5"/>
      <c r="D85" s="5"/>
      <c r="E85" s="18"/>
      <c r="F85" s="18"/>
      <c r="G85" s="19"/>
    </row>
    <row r="86" spans="1:7" x14ac:dyDescent="0.25">
      <c r="A86" s="8"/>
      <c r="B86" s="4"/>
      <c r="C86" s="5"/>
      <c r="D86" s="5"/>
      <c r="E86" s="18"/>
      <c r="F86" s="18"/>
      <c r="G86" s="19"/>
    </row>
    <row r="87" spans="1:7" x14ac:dyDescent="0.25">
      <c r="A87" s="8"/>
      <c r="B87" s="4"/>
      <c r="C87" s="5"/>
      <c r="D87" s="5"/>
      <c r="E87" s="18"/>
      <c r="F87" s="18"/>
      <c r="G87" s="19"/>
    </row>
    <row r="88" spans="1:7" x14ac:dyDescent="0.25">
      <c r="A88" s="8"/>
      <c r="B88" s="4"/>
      <c r="C88" s="5"/>
      <c r="D88" s="5"/>
      <c r="E88" s="18"/>
      <c r="F88" s="18"/>
      <c r="G88" s="19"/>
    </row>
    <row r="89" spans="1:7" x14ac:dyDescent="0.25">
      <c r="A89" s="8"/>
      <c r="B89" s="4"/>
      <c r="C89" s="5"/>
      <c r="D89" s="5"/>
      <c r="E89" s="18"/>
      <c r="F89" s="18"/>
      <c r="G89" s="19"/>
    </row>
    <row r="90" spans="1:7" x14ac:dyDescent="0.25">
      <c r="A90" s="8"/>
      <c r="B90" s="4"/>
      <c r="C90" s="5"/>
      <c r="D90" s="5"/>
      <c r="E90" s="18"/>
      <c r="F90" s="18"/>
      <c r="G90" s="19"/>
    </row>
    <row r="91" spans="1:7" x14ac:dyDescent="0.25">
      <c r="A91" s="8"/>
      <c r="B91" s="4"/>
      <c r="C91" s="5"/>
      <c r="D91" s="5"/>
      <c r="E91" s="18"/>
      <c r="F91" s="18"/>
      <c r="G91" s="19"/>
    </row>
    <row r="92" spans="1:7" x14ac:dyDescent="0.25">
      <c r="A92" s="8"/>
      <c r="B92" s="4"/>
      <c r="C92" s="5"/>
      <c r="D92" s="5"/>
      <c r="E92" s="18"/>
      <c r="F92" s="18"/>
      <c r="G92" s="19"/>
    </row>
    <row r="93" spans="1:7" x14ac:dyDescent="0.25">
      <c r="A93" s="8"/>
      <c r="B93" s="4"/>
      <c r="C93" s="5"/>
      <c r="D93" s="5"/>
      <c r="E93" s="18"/>
      <c r="F93" s="18"/>
      <c r="G93" s="19"/>
    </row>
    <row r="94" spans="1:7" x14ac:dyDescent="0.25">
      <c r="A94" s="8"/>
      <c r="B94" s="4"/>
      <c r="C94" s="5"/>
      <c r="D94" s="5"/>
      <c r="E94" s="18"/>
      <c r="F94" s="18"/>
      <c r="G94" s="19"/>
    </row>
    <row r="95" spans="1:7" x14ac:dyDescent="0.25">
      <c r="A95" s="8"/>
      <c r="B95" s="4"/>
      <c r="C95" s="5"/>
      <c r="D95" s="5"/>
      <c r="E95" s="18"/>
      <c r="F95" s="18"/>
      <c r="G95" s="19"/>
    </row>
    <row r="96" spans="1:7" x14ac:dyDescent="0.25">
      <c r="A96" s="8"/>
      <c r="B96" s="4"/>
      <c r="C96" s="5"/>
      <c r="D96" s="5"/>
      <c r="E96" s="18"/>
      <c r="F96" s="18"/>
      <c r="G96" s="19"/>
    </row>
    <row r="97" spans="1:7" x14ac:dyDescent="0.25">
      <c r="A97" s="8"/>
      <c r="B97" s="4"/>
      <c r="C97" s="5"/>
      <c r="D97" s="5"/>
      <c r="E97" s="18"/>
      <c r="F97" s="18"/>
      <c r="G97" s="19"/>
    </row>
    <row r="98" spans="1:7" x14ac:dyDescent="0.25">
      <c r="A98" s="8"/>
      <c r="B98" s="4"/>
      <c r="C98" s="5"/>
      <c r="D98" s="5"/>
      <c r="E98" s="18"/>
      <c r="F98" s="18"/>
      <c r="G98" s="19"/>
    </row>
    <row r="99" spans="1:7" x14ac:dyDescent="0.25">
      <c r="A99" s="42" t="s">
        <v>21</v>
      </c>
      <c r="B99" s="43"/>
      <c r="C99" s="2"/>
      <c r="D99" s="2"/>
      <c r="E99" s="38">
        <f>SUM(E2:E98)</f>
        <v>0</v>
      </c>
      <c r="F99" s="38">
        <f>SUM(F2:F98)</f>
        <v>0</v>
      </c>
      <c r="G99" s="44">
        <f>SUM(G5:G98)</f>
        <v>0</v>
      </c>
    </row>
    <row r="100" spans="1:7" x14ac:dyDescent="0.25">
      <c r="A100" s="45" t="s">
        <v>17</v>
      </c>
      <c r="B100" s="46"/>
      <c r="C100" s="51">
        <f>SUMIF(B2:B98,"Capitol One",F2:F98)</f>
        <v>0</v>
      </c>
      <c r="D100" s="2"/>
      <c r="E100" s="2"/>
      <c r="F100" s="2"/>
      <c r="G100" s="9"/>
    </row>
    <row r="101" spans="1:7" x14ac:dyDescent="0.25">
      <c r="A101" s="42" t="s">
        <v>18</v>
      </c>
      <c r="B101" s="43"/>
      <c r="C101" s="38">
        <f>SUMIF(B2:B98,"Sam's Club",F2:F98)</f>
        <v>0</v>
      </c>
      <c r="D101" s="2"/>
      <c r="E101" s="2"/>
      <c r="F101" s="2"/>
      <c r="G101" s="9"/>
    </row>
    <row r="102" spans="1:7" x14ac:dyDescent="0.25">
      <c r="A102" s="42" t="s">
        <v>90</v>
      </c>
      <c r="B102" s="43"/>
      <c r="C102" s="51">
        <f>SUMIF(B2:B98,"Discover",F2:F98)</f>
        <v>0</v>
      </c>
      <c r="D102" s="17"/>
      <c r="E102" s="17"/>
      <c r="F102" s="17"/>
      <c r="G102" s="13"/>
    </row>
    <row r="103" spans="1:7" x14ac:dyDescent="0.25">
      <c r="A103" s="42" t="s">
        <v>91</v>
      </c>
      <c r="B103" s="43"/>
      <c r="C103" s="38">
        <f>SUMIF($B2:B98,"Discover",$E2:E98)+SUMIF($B2:B98,"Discover",$G2:G98)-C102</f>
        <v>0</v>
      </c>
      <c r="D103" s="2"/>
      <c r="E103" s="2"/>
      <c r="F103" s="2"/>
      <c r="G103" s="9"/>
    </row>
    <row r="104" spans="1:7" x14ac:dyDescent="0.25">
      <c r="A104" s="45" t="s">
        <v>19</v>
      </c>
      <c r="B104" s="46"/>
      <c r="C104" s="38">
        <f>SUMIF($B2:B98,"Capitol One",$E2:E98)+SUMIF($B2:B98,"Capitol One",$G2:G98)-C100</f>
        <v>0</v>
      </c>
      <c r="D104" s="2"/>
      <c r="E104" s="2"/>
      <c r="F104" s="2"/>
      <c r="G104" s="9"/>
    </row>
    <row r="105" spans="1:7" ht="15.75" thickBot="1" x14ac:dyDescent="0.3">
      <c r="A105" s="47" t="s">
        <v>20</v>
      </c>
      <c r="B105" s="48"/>
      <c r="C105" s="49">
        <f>SUMIF($B2:B98,"Sam's Club",$E2:E98)+SUMIF($B2:B98,"Sam's Club",$G2:G98)-C101</f>
        <v>0</v>
      </c>
      <c r="D105" s="10"/>
      <c r="E105" s="10"/>
      <c r="F105" s="10"/>
      <c r="G105" s="11"/>
    </row>
  </sheetData>
  <autoFilter ref="A1:G1" xr:uid="{55C6C991-3FFE-4866-967D-4139DF94C020}">
    <sortState xmlns:xlrd2="http://schemas.microsoft.com/office/spreadsheetml/2017/richdata2" ref="A2:G97">
      <sortCondition ref="B1"/>
    </sortState>
  </autoFilter>
  <dataConsolidate/>
  <mergeCells count="7">
    <mergeCell ref="A105:B105"/>
    <mergeCell ref="A99:B99"/>
    <mergeCell ref="A100:B100"/>
    <mergeCell ref="A101:B101"/>
    <mergeCell ref="A102:B102"/>
    <mergeCell ref="A103:B103"/>
    <mergeCell ref="A104:B104"/>
  </mergeCells>
  <dataValidations count="16">
    <dataValidation type="date" allowBlank="1" showInputMessage="1" showErrorMessage="1" sqref="A64 A75:A79" xr:uid="{5508BD9C-2D92-4720-BB07-7A06C3EAEF1C}">
      <formula1>A64</formula1>
      <formula2>A114</formula2>
    </dataValidation>
    <dataValidation type="date" allowBlank="1" showInputMessage="1" showErrorMessage="1" sqref="A22:A27" xr:uid="{E1577905-4F92-486A-914A-944D469C2567}">
      <formula1>A22</formula1>
      <formula2>A123</formula2>
    </dataValidation>
    <dataValidation type="date" allowBlank="1" showInputMessage="1" showErrorMessage="1" sqref="A2:A21" xr:uid="{1AEFAE0E-707B-496D-BB20-D21B91E0ED8D}">
      <formula1>A2</formula1>
      <formula2>A102</formula2>
    </dataValidation>
    <dataValidation type="date" allowBlank="1" showInputMessage="1" showErrorMessage="1" sqref="A30:A45" xr:uid="{41955872-9F1F-408D-962E-B5E0077EEB77}">
      <formula1>A30</formula1>
      <formula2>A124</formula2>
    </dataValidation>
    <dataValidation type="date" allowBlank="1" showInputMessage="1" showErrorMessage="1" sqref="A28:A29" xr:uid="{E80F010B-ECE4-4749-A562-5636B688EDC7}">
      <formula1>A28</formula1>
      <formula2>A123</formula2>
    </dataValidation>
    <dataValidation type="date" allowBlank="1" showInputMessage="1" showErrorMessage="1" sqref="A46:A52" xr:uid="{54143F97-D268-44A1-A2D2-1A3ADD52F307}">
      <formula1>A46</formula1>
      <formula2>A132</formula2>
    </dataValidation>
    <dataValidation type="date" allowBlank="1" showInputMessage="1" showErrorMessage="1" sqref="A68:A74 A60:A63" xr:uid="{6BF41349-3F68-48AF-B7C6-31C51585DEFB}">
      <formula1>A60</formula1>
      <formula2>A131</formula2>
    </dataValidation>
    <dataValidation type="date" allowBlank="1" showInputMessage="1" showErrorMessage="1" sqref="A53:A59" xr:uid="{0C723A1C-8B93-442F-854F-ACEA8125D6FC}">
      <formula1>A53</formula1>
      <formula2>A123</formula2>
    </dataValidation>
    <dataValidation type="date" allowBlank="1" showInputMessage="1" showErrorMessage="1" sqref="A65:A67" xr:uid="{E96BA540-7EAF-4F8B-A119-6A8222987FAB}">
      <formula1>A65</formula1>
      <formula2>A111</formula2>
    </dataValidation>
    <dataValidation type="date" allowBlank="1" showInputMessage="1" showErrorMessage="1" sqref="A90:A91" xr:uid="{EAA4C412-06AC-4C30-84A1-EB4B43F5F462}">
      <formula1>A90</formula1>
      <formula2>A116</formula2>
    </dataValidation>
    <dataValidation type="date" allowBlank="1" showInputMessage="1" showErrorMessage="1" sqref="A81:A89 A93:A97" xr:uid="{80191D65-7185-4BCF-8EC6-E20201F3759A}">
      <formula1>A81</formula1>
      <formula2>A115</formula2>
    </dataValidation>
    <dataValidation type="date" allowBlank="1" showInputMessage="1" showErrorMessage="1" sqref="A80 A92" xr:uid="{FF3684FA-6EEB-48CE-A346-868C386AE4E6}">
      <formula1>A80</formula1>
      <formula2>A118</formula2>
    </dataValidation>
    <dataValidation type="date" allowBlank="1" showInputMessage="1" showErrorMessage="1" sqref="A98" xr:uid="{9D5A9962-8346-4E8E-A482-41C1848DA302}">
      <formula1>A98</formula1>
      <formula2>A129</formula2>
    </dataValidation>
    <dataValidation type="list" allowBlank="1" showInputMessage="1" showErrorMessage="1" sqref="C2:C98" xr:uid="{7B69270F-0FD4-46A6-AC50-60F86C5F5A44}">
      <formula1>StoresDescription</formula1>
    </dataValidation>
    <dataValidation type="list" allowBlank="1" showInputMessage="1" showErrorMessage="1" sqref="D2:D98" xr:uid="{0D2C7383-3E65-4D31-9B8A-EEE54A43CF30}">
      <formula1>ItemsDescription</formula1>
    </dataValidation>
    <dataValidation type="list" allowBlank="1" showInputMessage="1" showErrorMessage="1" sqref="B2:B98" xr:uid="{D175590A-716A-49A7-9513-43BB890BB447}">
      <formula1>CCUsed</formula1>
    </dataValidation>
  </dataValidations>
  <pageMargins left="0.7" right="0.7" top="0.75" bottom="0.75" header="0.3" footer="0.3"/>
  <pageSetup scale="5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47CD-ECBF-4306-9626-714ED47ABA0E}">
  <sheetPr codeName="Sheet13"/>
  <dimension ref="A1:E85"/>
  <sheetViews>
    <sheetView zoomScale="80" zoomScaleNormal="160" workbookViewId="0">
      <selection activeCell="H28" sqref="H28"/>
    </sheetView>
  </sheetViews>
  <sheetFormatPr defaultRowHeight="15" x14ac:dyDescent="0.25"/>
  <cols>
    <col min="1" max="1" width="25.5703125" style="1" customWidth="1"/>
    <col min="3" max="3" width="22.85546875" bestFit="1" customWidth="1"/>
    <col min="5" max="5" width="12.7109375" bestFit="1" customWidth="1"/>
  </cols>
  <sheetData>
    <row r="1" spans="1:5" x14ac:dyDescent="0.25">
      <c r="A1" s="67" t="s">
        <v>8</v>
      </c>
      <c r="B1" s="12"/>
      <c r="C1" s="67" t="s">
        <v>9</v>
      </c>
      <c r="D1" s="12"/>
      <c r="E1" s="68" t="s">
        <v>22</v>
      </c>
    </row>
    <row r="2" spans="1:5" x14ac:dyDescent="0.25">
      <c r="A2" s="69" t="s">
        <v>5</v>
      </c>
      <c r="C2" s="69" t="s">
        <v>52</v>
      </c>
      <c r="E2" s="69" t="s">
        <v>23</v>
      </c>
    </row>
    <row r="3" spans="1:5" x14ac:dyDescent="0.25">
      <c r="A3" s="69" t="s">
        <v>87</v>
      </c>
      <c r="C3" s="69" t="s">
        <v>103</v>
      </c>
      <c r="E3" s="69" t="s">
        <v>16</v>
      </c>
    </row>
    <row r="4" spans="1:5" x14ac:dyDescent="0.25">
      <c r="A4" s="69" t="s">
        <v>30</v>
      </c>
      <c r="C4" s="69" t="s">
        <v>7</v>
      </c>
    </row>
    <row r="5" spans="1:5" x14ac:dyDescent="0.25">
      <c r="A5" s="69" t="s">
        <v>6</v>
      </c>
      <c r="C5" s="69" t="s">
        <v>104</v>
      </c>
    </row>
    <row r="6" spans="1:5" x14ac:dyDescent="0.25">
      <c r="A6" s="69" t="s">
        <v>15</v>
      </c>
      <c r="C6" s="69" t="s">
        <v>11</v>
      </c>
    </row>
    <row r="7" spans="1:5" x14ac:dyDescent="0.25">
      <c r="A7" s="69" t="s">
        <v>3</v>
      </c>
      <c r="C7" s="69" t="s">
        <v>10</v>
      </c>
    </row>
    <row r="8" spans="1:5" x14ac:dyDescent="0.25">
      <c r="A8" s="69" t="s">
        <v>84</v>
      </c>
      <c r="C8" s="69" t="s">
        <v>60</v>
      </c>
    </row>
    <row r="9" spans="1:5" x14ac:dyDescent="0.25">
      <c r="A9" s="69" t="s">
        <v>4</v>
      </c>
      <c r="C9" s="69" t="s">
        <v>73</v>
      </c>
    </row>
    <row r="10" spans="1:5" x14ac:dyDescent="0.25">
      <c r="A10" s="69" t="s">
        <v>81</v>
      </c>
      <c r="C10" s="69" t="s">
        <v>58</v>
      </c>
    </row>
    <row r="11" spans="1:5" x14ac:dyDescent="0.25">
      <c r="C11" s="69" t="s">
        <v>42</v>
      </c>
    </row>
    <row r="12" spans="1:5" x14ac:dyDescent="0.25">
      <c r="C12" s="69" t="s">
        <v>87</v>
      </c>
    </row>
    <row r="13" spans="1:5" x14ac:dyDescent="0.25">
      <c r="C13" s="69" t="s">
        <v>29</v>
      </c>
    </row>
    <row r="14" spans="1:5" x14ac:dyDescent="0.25">
      <c r="C14" s="69" t="s">
        <v>48</v>
      </c>
    </row>
    <row r="15" spans="1:5" x14ac:dyDescent="0.25">
      <c r="C15" s="69" t="s">
        <v>40</v>
      </c>
    </row>
    <row r="16" spans="1:5" x14ac:dyDescent="0.25">
      <c r="C16" s="69" t="s">
        <v>80</v>
      </c>
    </row>
    <row r="17" spans="3:3" x14ac:dyDescent="0.25">
      <c r="C17" s="69" t="s">
        <v>75</v>
      </c>
    </row>
    <row r="18" spans="3:3" x14ac:dyDescent="0.25">
      <c r="C18" s="69" t="s">
        <v>108</v>
      </c>
    </row>
    <row r="19" spans="3:3" x14ac:dyDescent="0.25">
      <c r="C19" s="69" t="s">
        <v>97</v>
      </c>
    </row>
    <row r="20" spans="3:3" x14ac:dyDescent="0.25">
      <c r="C20" s="69" t="s">
        <v>85</v>
      </c>
    </row>
    <row r="21" spans="3:3" x14ac:dyDescent="0.25">
      <c r="C21" s="69" t="s">
        <v>79</v>
      </c>
    </row>
    <row r="22" spans="3:3" x14ac:dyDescent="0.25">
      <c r="C22" s="69" t="s">
        <v>95</v>
      </c>
    </row>
    <row r="23" spans="3:3" x14ac:dyDescent="0.25">
      <c r="C23" s="69" t="s">
        <v>33</v>
      </c>
    </row>
    <row r="24" spans="3:3" x14ac:dyDescent="0.25">
      <c r="C24" s="69" t="s">
        <v>37</v>
      </c>
    </row>
    <row r="25" spans="3:3" x14ac:dyDescent="0.25">
      <c r="C25" s="69" t="s">
        <v>65</v>
      </c>
    </row>
    <row r="26" spans="3:3" x14ac:dyDescent="0.25">
      <c r="C26" s="69" t="s">
        <v>68</v>
      </c>
    </row>
    <row r="27" spans="3:3" x14ac:dyDescent="0.25">
      <c r="C27" s="69" t="s">
        <v>62</v>
      </c>
    </row>
    <row r="28" spans="3:3" x14ac:dyDescent="0.25">
      <c r="C28" s="69" t="s">
        <v>32</v>
      </c>
    </row>
    <row r="29" spans="3:3" x14ac:dyDescent="0.25">
      <c r="C29" s="69" t="s">
        <v>34</v>
      </c>
    </row>
    <row r="30" spans="3:3" x14ac:dyDescent="0.25">
      <c r="C30" s="69" t="s">
        <v>70</v>
      </c>
    </row>
    <row r="31" spans="3:3" x14ac:dyDescent="0.25">
      <c r="C31" s="69" t="s">
        <v>46</v>
      </c>
    </row>
    <row r="32" spans="3:3" x14ac:dyDescent="0.25">
      <c r="C32" s="69" t="s">
        <v>94</v>
      </c>
    </row>
    <row r="33" spans="3:3" x14ac:dyDescent="0.25">
      <c r="C33" s="69" t="s">
        <v>92</v>
      </c>
    </row>
    <row r="34" spans="3:3" x14ac:dyDescent="0.25">
      <c r="C34" s="69" t="s">
        <v>13</v>
      </c>
    </row>
    <row r="35" spans="3:3" x14ac:dyDescent="0.25">
      <c r="C35" s="69" t="s">
        <v>47</v>
      </c>
    </row>
    <row r="36" spans="3:3" x14ac:dyDescent="0.25">
      <c r="C36" s="69" t="s">
        <v>72</v>
      </c>
    </row>
    <row r="37" spans="3:3" x14ac:dyDescent="0.25">
      <c r="C37" s="69" t="s">
        <v>101</v>
      </c>
    </row>
    <row r="38" spans="3:3" x14ac:dyDescent="0.25">
      <c r="C38" s="69" t="s">
        <v>102</v>
      </c>
    </row>
    <row r="39" spans="3:3" x14ac:dyDescent="0.25">
      <c r="C39" s="69" t="s">
        <v>38</v>
      </c>
    </row>
    <row r="40" spans="3:3" x14ac:dyDescent="0.25">
      <c r="C40" s="69" t="s">
        <v>28</v>
      </c>
    </row>
    <row r="41" spans="3:3" x14ac:dyDescent="0.25">
      <c r="C41" s="69" t="s">
        <v>76</v>
      </c>
    </row>
    <row r="42" spans="3:3" x14ac:dyDescent="0.25">
      <c r="C42" s="69" t="s">
        <v>67</v>
      </c>
    </row>
    <row r="43" spans="3:3" x14ac:dyDescent="0.25">
      <c r="C43" s="69" t="s">
        <v>50</v>
      </c>
    </row>
    <row r="44" spans="3:3" x14ac:dyDescent="0.25">
      <c r="C44" s="69" t="s">
        <v>49</v>
      </c>
    </row>
    <row r="45" spans="3:3" x14ac:dyDescent="0.25">
      <c r="C45" s="69" t="s">
        <v>61</v>
      </c>
    </row>
    <row r="46" spans="3:3" x14ac:dyDescent="0.25">
      <c r="C46" s="69" t="s">
        <v>27</v>
      </c>
    </row>
    <row r="47" spans="3:3" x14ac:dyDescent="0.25">
      <c r="C47" s="69" t="s">
        <v>41</v>
      </c>
    </row>
    <row r="48" spans="3:3" x14ac:dyDescent="0.25">
      <c r="C48" s="69" t="s">
        <v>64</v>
      </c>
    </row>
    <row r="49" spans="3:3" x14ac:dyDescent="0.25">
      <c r="C49" s="69" t="s">
        <v>4</v>
      </c>
    </row>
    <row r="50" spans="3:3" x14ac:dyDescent="0.25">
      <c r="C50" s="69" t="s">
        <v>96</v>
      </c>
    </row>
    <row r="51" spans="3:3" x14ac:dyDescent="0.25">
      <c r="C51" s="69" t="s">
        <v>98</v>
      </c>
    </row>
    <row r="52" spans="3:3" x14ac:dyDescent="0.25">
      <c r="C52" s="69" t="s">
        <v>39</v>
      </c>
    </row>
    <row r="53" spans="3:3" x14ac:dyDescent="0.25">
      <c r="C53" s="69" t="s">
        <v>63</v>
      </c>
    </row>
    <row r="54" spans="3:3" x14ac:dyDescent="0.25">
      <c r="C54" s="69" t="s">
        <v>78</v>
      </c>
    </row>
    <row r="55" spans="3:3" x14ac:dyDescent="0.25">
      <c r="C55" s="69" t="s">
        <v>74</v>
      </c>
    </row>
    <row r="56" spans="3:3" x14ac:dyDescent="0.25">
      <c r="C56" s="69" t="s">
        <v>99</v>
      </c>
    </row>
    <row r="57" spans="3:3" x14ac:dyDescent="0.25">
      <c r="C57" s="69" t="s">
        <v>51</v>
      </c>
    </row>
    <row r="58" spans="3:3" x14ac:dyDescent="0.25">
      <c r="C58" s="69" t="s">
        <v>86</v>
      </c>
    </row>
    <row r="59" spans="3:3" x14ac:dyDescent="0.25">
      <c r="C59" s="69" t="s">
        <v>66</v>
      </c>
    </row>
    <row r="60" spans="3:3" x14ac:dyDescent="0.25">
      <c r="C60" s="69" t="s">
        <v>31</v>
      </c>
    </row>
    <row r="61" spans="3:3" x14ac:dyDescent="0.25">
      <c r="C61" s="69" t="s">
        <v>43</v>
      </c>
    </row>
    <row r="62" spans="3:3" x14ac:dyDescent="0.25">
      <c r="C62" s="69" t="s">
        <v>16</v>
      </c>
    </row>
    <row r="63" spans="3:3" x14ac:dyDescent="0.25">
      <c r="C63" s="69" t="s">
        <v>69</v>
      </c>
    </row>
    <row r="64" spans="3:3" x14ac:dyDescent="0.25">
      <c r="C64" s="69" t="s">
        <v>105</v>
      </c>
    </row>
    <row r="65" spans="3:3" x14ac:dyDescent="0.25">
      <c r="C65" s="69" t="s">
        <v>106</v>
      </c>
    </row>
    <row r="66" spans="3:3" x14ac:dyDescent="0.25">
      <c r="C66" s="69" t="s">
        <v>59</v>
      </c>
    </row>
    <row r="67" spans="3:3" x14ac:dyDescent="0.25">
      <c r="C67" s="69" t="s">
        <v>45</v>
      </c>
    </row>
    <row r="68" spans="3:3" x14ac:dyDescent="0.25">
      <c r="C68" s="69" t="s">
        <v>82</v>
      </c>
    </row>
    <row r="69" spans="3:3" x14ac:dyDescent="0.25">
      <c r="C69" s="69" t="s">
        <v>93</v>
      </c>
    </row>
    <row r="70" spans="3:3" x14ac:dyDescent="0.25">
      <c r="C70" s="69" t="s">
        <v>14</v>
      </c>
    </row>
    <row r="71" spans="3:3" x14ac:dyDescent="0.25">
      <c r="C71" s="69" t="s">
        <v>89</v>
      </c>
    </row>
    <row r="72" spans="3:3" x14ac:dyDescent="0.25">
      <c r="C72" s="69" t="s">
        <v>57</v>
      </c>
    </row>
    <row r="73" spans="3:3" x14ac:dyDescent="0.25">
      <c r="C73" s="69" t="s">
        <v>56</v>
      </c>
    </row>
    <row r="74" spans="3:3" x14ac:dyDescent="0.25">
      <c r="C74" s="69" t="s">
        <v>77</v>
      </c>
    </row>
    <row r="75" spans="3:3" x14ac:dyDescent="0.25">
      <c r="C75" s="69" t="s">
        <v>100</v>
      </c>
    </row>
    <row r="76" spans="3:3" x14ac:dyDescent="0.25">
      <c r="C76" s="69" t="s">
        <v>54</v>
      </c>
    </row>
    <row r="77" spans="3:3" x14ac:dyDescent="0.25">
      <c r="C77" s="69" t="s">
        <v>36</v>
      </c>
    </row>
    <row r="78" spans="3:3" x14ac:dyDescent="0.25">
      <c r="C78" s="69" t="s">
        <v>71</v>
      </c>
    </row>
    <row r="79" spans="3:3" x14ac:dyDescent="0.25">
      <c r="C79" s="69" t="s">
        <v>35</v>
      </c>
    </row>
    <row r="80" spans="3:3" x14ac:dyDescent="0.25">
      <c r="C80" s="69" t="s">
        <v>83</v>
      </c>
    </row>
    <row r="81" spans="3:3" x14ac:dyDescent="0.25">
      <c r="C81" s="69" t="s">
        <v>44</v>
      </c>
    </row>
    <row r="82" spans="3:3" x14ac:dyDescent="0.25">
      <c r="C82" s="69" t="s">
        <v>12</v>
      </c>
    </row>
    <row r="83" spans="3:3" x14ac:dyDescent="0.25">
      <c r="C83" s="69" t="s">
        <v>55</v>
      </c>
    </row>
    <row r="84" spans="3:3" x14ac:dyDescent="0.25">
      <c r="C84" s="69" t="s">
        <v>88</v>
      </c>
    </row>
    <row r="85" spans="3:3" x14ac:dyDescent="0.25">
      <c r="C85" s="69" t="s">
        <v>53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45</vt:i4>
      </vt:variant>
    </vt:vector>
  </HeadingPairs>
  <TitlesOfParts>
    <vt:vector size="58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  <vt:lpstr>Lookup Tables</vt:lpstr>
      <vt:lpstr>Apr!CCUsed</vt:lpstr>
      <vt:lpstr>Aug!CCUsed</vt:lpstr>
      <vt:lpstr>Dec!CCUsed</vt:lpstr>
      <vt:lpstr>Jul!CCUsed</vt:lpstr>
      <vt:lpstr>Jun!CCUsed</vt:lpstr>
      <vt:lpstr>Mar!CCUsed</vt:lpstr>
      <vt:lpstr>May!CCUsed</vt:lpstr>
      <vt:lpstr>Nov!CCUsed</vt:lpstr>
      <vt:lpstr>Oct!CCUsed</vt:lpstr>
      <vt:lpstr>Sept!CCUsed</vt:lpstr>
      <vt:lpstr>CCUsed</vt:lpstr>
      <vt:lpstr>Apr!ItemsDescription</vt:lpstr>
      <vt:lpstr>Aug!ItemsDescription</vt:lpstr>
      <vt:lpstr>Dec!ItemsDescription</vt:lpstr>
      <vt:lpstr>Jul!ItemsDescription</vt:lpstr>
      <vt:lpstr>Jun!ItemsDescription</vt:lpstr>
      <vt:lpstr>Mar!ItemsDescription</vt:lpstr>
      <vt:lpstr>May!ItemsDescription</vt:lpstr>
      <vt:lpstr>Nov!ItemsDescription</vt:lpstr>
      <vt:lpstr>Oct!ItemsDescription</vt:lpstr>
      <vt:lpstr>Sept!ItemsDescription</vt:lpstr>
      <vt:lpstr>ItemsDescription</vt:lpstr>
      <vt:lpstr>Apr!Print_Area</vt:lpstr>
      <vt:lpstr>Aug!Print_Area</vt:lpstr>
      <vt:lpstr>Dec!Print_Area</vt:lpstr>
      <vt:lpstr>Feb!Print_Area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Sept!Print_Area</vt:lpstr>
      <vt:lpstr>Jan!Print_Titles</vt:lpstr>
      <vt:lpstr>Apr!StoresDescription</vt:lpstr>
      <vt:lpstr>Aug!StoresDescription</vt:lpstr>
      <vt:lpstr>Dec!StoresDescription</vt:lpstr>
      <vt:lpstr>Jul!StoresDescription</vt:lpstr>
      <vt:lpstr>Jun!StoresDescription</vt:lpstr>
      <vt:lpstr>Mar!StoresDescription</vt:lpstr>
      <vt:lpstr>May!StoresDescription</vt:lpstr>
      <vt:lpstr>Nov!StoresDescription</vt:lpstr>
      <vt:lpstr>Oct!StoresDescription</vt:lpstr>
      <vt:lpstr>Sept!StoresDescription</vt:lpstr>
      <vt:lpstr>StoresDescription</vt:lpstr>
    </vt:vector>
  </TitlesOfParts>
  <Company>Worley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Jaydev (Baton Rouge)</dc:creator>
  <cp:lastModifiedBy>Jaydev Patel</cp:lastModifiedBy>
  <cp:lastPrinted>2024-11-17T18:29:27Z</cp:lastPrinted>
  <dcterms:created xsi:type="dcterms:W3CDTF">2022-12-21T16:33:26Z</dcterms:created>
  <dcterms:modified xsi:type="dcterms:W3CDTF">2025-10-05T17:14:34Z</dcterms:modified>
</cp:coreProperties>
</file>